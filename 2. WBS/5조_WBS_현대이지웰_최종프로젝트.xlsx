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edgu\OneDrive\Desktop\related Re_View\Re_View_Doc\2. WBS\"/>
    </mc:Choice>
  </mc:AlternateContent>
  <xr:revisionPtr revIDLastSave="0" documentId="13_ncr:1_{69AE8477-5D9E-40EA-BE18-1A5865BF7FE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BS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3" l="1"/>
  <c r="C8" i="3"/>
  <c r="C10" i="3"/>
  <c r="C11" i="3"/>
  <c r="C12" i="3"/>
  <c r="C13" i="3"/>
  <c r="C14" i="3"/>
  <c r="C15" i="3"/>
  <c r="C16" i="3"/>
  <c r="C18" i="3"/>
  <c r="C19" i="3"/>
  <c r="C22" i="3"/>
  <c r="C23" i="3"/>
  <c r="C24" i="3"/>
  <c r="C25" i="3"/>
  <c r="C26" i="3"/>
  <c r="C27" i="3"/>
  <c r="C29" i="3"/>
  <c r="C30" i="3"/>
  <c r="C31" i="3"/>
  <c r="C32" i="3"/>
  <c r="C34" i="3"/>
  <c r="C35" i="3"/>
  <c r="C36" i="3"/>
  <c r="C37" i="3"/>
  <c r="C38" i="3"/>
  <c r="C39" i="3"/>
  <c r="C40" i="3"/>
  <c r="C41" i="3"/>
  <c r="C43" i="3"/>
  <c r="C44" i="3"/>
  <c r="C45" i="3"/>
  <c r="C46" i="3"/>
  <c r="C47" i="3"/>
  <c r="C48" i="3"/>
  <c r="C49" i="3"/>
  <c r="C42" i="3"/>
  <c r="C20" i="3"/>
  <c r="C7" i="3"/>
  <c r="C6" i="3"/>
  <c r="C5" i="3"/>
  <c r="C4" i="3"/>
  <c r="D30" i="3"/>
  <c r="D27" i="3"/>
  <c r="D20" i="3"/>
  <c r="D26" i="3"/>
  <c r="D4" i="3"/>
  <c r="D22" i="3"/>
  <c r="D25" i="3"/>
  <c r="D16" i="3"/>
  <c r="D15" i="3"/>
  <c r="D14" i="3"/>
  <c r="D29" i="3"/>
  <c r="D31" i="3"/>
  <c r="D32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13" i="3"/>
  <c r="D12" i="3"/>
  <c r="D11" i="3"/>
  <c r="D10" i="3"/>
  <c r="D9" i="3"/>
  <c r="D8" i="3"/>
  <c r="D7" i="3"/>
  <c r="D6" i="3"/>
  <c r="D5" i="3"/>
  <c r="D34" i="3"/>
  <c r="D18" i="3"/>
  <c r="D35" i="3"/>
  <c r="D24" i="3"/>
  <c r="D23" i="3"/>
  <c r="D19" i="3"/>
</calcChain>
</file>

<file path=xl/sharedStrings.xml><?xml version="1.0" encoding="utf-8"?>
<sst xmlns="http://schemas.openxmlformats.org/spreadsheetml/2006/main" count="164" uniqueCount="133">
  <si>
    <t>팀명</t>
  </si>
  <si>
    <t>구분</t>
  </si>
  <si>
    <t>UI/UX 개선 및 디자인 보완</t>
  </si>
  <si>
    <t>결과 보고서 및 발표 자료 작성</t>
  </si>
  <si>
    <t>5조</t>
  </si>
  <si>
    <t>RE-VIEW</t>
  </si>
  <si>
    <t>프로젝트 주제 작성</t>
  </si>
  <si>
    <t>완료율</t>
  </si>
  <si>
    <t>기간</t>
  </si>
  <si>
    <t>시작 날짜</t>
  </si>
  <si>
    <t>완료 날짜</t>
  </si>
  <si>
    <t>담당자</t>
  </si>
  <si>
    <t>1일</t>
  </si>
  <si>
    <t>2일</t>
  </si>
  <si>
    <t>3일</t>
  </si>
  <si>
    <t>4일</t>
  </si>
  <si>
    <t>5일</t>
  </si>
  <si>
    <t>6일</t>
  </si>
  <si>
    <t>7일</t>
  </si>
  <si>
    <t>8일</t>
  </si>
  <si>
    <t>9일</t>
  </si>
  <si>
    <t>10일</t>
  </si>
  <si>
    <t>11일</t>
  </si>
  <si>
    <t>12일</t>
  </si>
  <si>
    <t>13일</t>
  </si>
  <si>
    <t>14일</t>
  </si>
  <si>
    <t>15일</t>
  </si>
  <si>
    <t>16일</t>
  </si>
  <si>
    <t>17일</t>
  </si>
  <si>
    <t>18일</t>
  </si>
  <si>
    <t>19일</t>
  </si>
  <si>
    <t>20일</t>
  </si>
  <si>
    <t>21일</t>
  </si>
  <si>
    <t>22일</t>
  </si>
  <si>
    <t>23일</t>
  </si>
  <si>
    <t>24일</t>
  </si>
  <si>
    <t>25일</t>
  </si>
  <si>
    <t>26일</t>
  </si>
  <si>
    <t>27일</t>
  </si>
  <si>
    <t>28일</t>
  </si>
  <si>
    <t>29일</t>
  </si>
  <si>
    <t>30일</t>
  </si>
  <si>
    <t>31일</t>
  </si>
  <si>
    <t>32일</t>
  </si>
  <si>
    <t>33일</t>
  </si>
  <si>
    <t>34일</t>
  </si>
  <si>
    <t>35일</t>
  </si>
  <si>
    <t>36일</t>
  </si>
  <si>
    <t>37일</t>
  </si>
  <si>
    <t>38일</t>
  </si>
  <si>
    <t>39일</t>
  </si>
  <si>
    <t>40일</t>
  </si>
  <si>
    <t>41일</t>
  </si>
  <si>
    <t>42일</t>
  </si>
  <si>
    <t>43일</t>
  </si>
  <si>
    <t>44일</t>
  </si>
  <si>
    <t>45일</t>
  </si>
  <si>
    <t>46일</t>
  </si>
  <si>
    <t>47일</t>
  </si>
  <si>
    <t>48일</t>
  </si>
  <si>
    <t>49일</t>
  </si>
  <si>
    <t>50일</t>
  </si>
  <si>
    <t>51일</t>
  </si>
  <si>
    <t>52일</t>
  </si>
  <si>
    <t>53일</t>
  </si>
  <si>
    <t>54일</t>
  </si>
  <si>
    <t>55일</t>
  </si>
  <si>
    <t>56일</t>
  </si>
  <si>
    <t>57일</t>
  </si>
  <si>
    <t>58일</t>
  </si>
  <si>
    <t>59일</t>
  </si>
  <si>
    <t>기획 및 설계 단계</t>
  </si>
  <si>
    <t>주제, 목표 구체화 및 역할 분담</t>
  </si>
  <si>
    <t>유사 서비스 벤치마킹</t>
  </si>
  <si>
    <t>깃 브랜치 전략 수립 및 레포지토리 생성</t>
  </si>
  <si>
    <t>기획서 작성</t>
  </si>
  <si>
    <t>DB/ERD 설계 및 API 명세서 작성</t>
  </si>
  <si>
    <t>데이터 수집</t>
  </si>
  <si>
    <t>WBS 작성</t>
  </si>
  <si>
    <t>화면 설계 및 와이어 프레임 제작</t>
  </si>
  <si>
    <t>프로젝트 수행</t>
  </si>
  <si>
    <t>디자인 및 개발 준비 단계</t>
  </si>
  <si>
    <t>프론트엔드 환경 세팅</t>
  </si>
  <si>
    <t>백앤드 환경 세팅</t>
  </si>
  <si>
    <t>필수 기능 개발 단계</t>
  </si>
  <si>
    <t>리뷰 작성 조회 삭제 CRUD</t>
  </si>
  <si>
    <t>회원가입 및 로그인 UI</t>
  </si>
  <si>
    <t>관리자 페이지 ui</t>
  </si>
  <si>
    <t>검색 페이지 UI</t>
  </si>
  <si>
    <t>상세페이지 UI</t>
  </si>
  <si>
    <t>프론트 엔드 기능 고도화(상세 ui 반응 개선)</t>
  </si>
  <si>
    <t>프론트엔드 마무리작업(배포 준비)</t>
  </si>
  <si>
    <t>프로젝트 마무리</t>
  </si>
  <si>
    <t>전체기능 통합 테스트</t>
  </si>
  <si>
    <t>최종 배포 및 발표 준비</t>
  </si>
  <si>
    <t>프로젝트 발표</t>
  </si>
  <si>
    <t>백엔드 작업 부분</t>
  </si>
  <si>
    <t>프론트엔드 작업 부분</t>
  </si>
  <si>
    <t>공통</t>
  </si>
  <si>
    <t>작업 이름</t>
  </si>
  <si>
    <t>팀 전체</t>
  </si>
  <si>
    <t>김석현, 이재빈, 정윤성</t>
  </si>
  <si>
    <t>오승환, 김시연, 박진성</t>
  </si>
  <si>
    <t>이재빈</t>
  </si>
  <si>
    <t>오승환</t>
  </si>
  <si>
    <t>김시연</t>
  </si>
  <si>
    <t>설문조사 페이지 UI</t>
  </si>
  <si>
    <t>박진성</t>
  </si>
  <si>
    <t>주요기능 개발 단계</t>
  </si>
  <si>
    <t>김석현, 이재빈, 정윤성</t>
    <phoneticPr fontId="11" type="noConversion"/>
  </si>
  <si>
    <t>오승환, 김시연, 박진성</t>
    <phoneticPr fontId="11" type="noConversion"/>
  </si>
  <si>
    <r>
      <rPr>
        <sz val="8"/>
        <color theme="1"/>
        <rFont val="맑은 고딕"/>
        <family val="3"/>
        <charset val="129"/>
      </rPr>
      <t>메인</t>
    </r>
    <r>
      <rPr>
        <sz val="8"/>
        <color theme="1"/>
        <rFont val="Arial"/>
        <family val="3"/>
      </rPr>
      <t xml:space="preserve"> </t>
    </r>
    <r>
      <rPr>
        <sz val="8"/>
        <color theme="1"/>
        <rFont val="맑은 고딕"/>
        <family val="3"/>
        <charset val="129"/>
      </rPr>
      <t>페이지</t>
    </r>
    <r>
      <rPr>
        <sz val="8"/>
        <color theme="1"/>
        <rFont val="Arial"/>
        <family val="3"/>
      </rPr>
      <t xml:space="preserve"> </t>
    </r>
    <r>
      <rPr>
        <sz val="8"/>
        <color theme="1"/>
        <rFont val="맑은 고딕"/>
        <family val="3"/>
        <charset val="129"/>
      </rPr>
      <t>기본적인</t>
    </r>
    <r>
      <rPr>
        <sz val="8"/>
        <color theme="1"/>
        <rFont val="Arial"/>
        <family val="3"/>
      </rPr>
      <t xml:space="preserve"> header, body, footer </t>
    </r>
    <r>
      <rPr>
        <sz val="8"/>
        <color theme="1"/>
        <rFont val="맑은 고딕"/>
        <family val="3"/>
        <charset val="129"/>
      </rPr>
      <t>구현</t>
    </r>
    <phoneticPr fontId="11" type="noConversion"/>
  </si>
  <si>
    <t>회원의 피부 타입에 추천되는 상품 추천 알고리즘</t>
    <phoneticPr fontId="11" type="noConversion"/>
  </si>
  <si>
    <r>
      <rPr>
        <sz val="8"/>
        <color theme="1"/>
        <rFont val="맑은 고딕"/>
        <family val="3"/>
        <charset val="129"/>
      </rPr>
      <t>구매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기록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기반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상품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리뷰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추천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알고리즘</t>
    </r>
    <phoneticPr fontId="11" type="noConversion"/>
  </si>
  <si>
    <t>정렬, 검색 기능(리뷰, 상품 등)</t>
    <phoneticPr fontId="11" type="noConversion"/>
  </si>
  <si>
    <r>
      <rPr>
        <sz val="8"/>
        <color theme="1"/>
        <rFont val="맑은 고딕"/>
        <family val="3"/>
        <charset val="129"/>
      </rPr>
      <t>리뷰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커뮤니티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시스템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강화</t>
    </r>
    <r>
      <rPr>
        <sz val="8"/>
        <color theme="1"/>
        <rFont val="Arial"/>
        <family val="2"/>
      </rPr>
      <t>(</t>
    </r>
    <r>
      <rPr>
        <sz val="8"/>
        <color theme="1"/>
        <rFont val="맑은 고딕"/>
        <family val="3"/>
        <charset val="129"/>
      </rPr>
      <t>추천</t>
    </r>
    <r>
      <rPr>
        <sz val="8"/>
        <color theme="1"/>
        <rFont val="Arial"/>
        <family val="2"/>
      </rPr>
      <t xml:space="preserve">, </t>
    </r>
    <r>
      <rPr>
        <sz val="8"/>
        <color theme="1"/>
        <rFont val="맑은 고딕"/>
        <family val="3"/>
        <charset val="129"/>
      </rPr>
      <t>비추천</t>
    </r>
    <r>
      <rPr>
        <sz val="8"/>
        <color theme="1"/>
        <rFont val="Arial"/>
        <family val="2"/>
      </rPr>
      <t xml:space="preserve">, </t>
    </r>
    <r>
      <rPr>
        <sz val="8"/>
        <color theme="1"/>
        <rFont val="맑은 고딕"/>
        <family val="3"/>
        <charset val="129"/>
      </rPr>
      <t>신고</t>
    </r>
    <r>
      <rPr>
        <sz val="8"/>
        <color theme="1"/>
        <rFont val="Arial"/>
        <family val="2"/>
      </rPr>
      <t xml:space="preserve">, </t>
    </r>
    <r>
      <rPr>
        <sz val="8"/>
        <color theme="1"/>
        <rFont val="맑은 고딕"/>
        <family val="3"/>
        <charset val="129"/>
      </rPr>
      <t>태그</t>
    </r>
    <r>
      <rPr>
        <sz val="8"/>
        <color theme="1"/>
        <rFont val="Arial"/>
        <family val="2"/>
      </rPr>
      <t xml:space="preserve">, </t>
    </r>
    <r>
      <rPr>
        <sz val="8"/>
        <color theme="1"/>
        <rFont val="맑은 고딕"/>
        <family val="3"/>
        <charset val="129"/>
      </rPr>
      <t>별점</t>
    </r>
    <r>
      <rPr>
        <sz val="8"/>
        <color theme="1"/>
        <rFont val="Arial"/>
        <family val="2"/>
      </rPr>
      <t xml:space="preserve">, </t>
    </r>
    <r>
      <rPr>
        <sz val="8"/>
        <color theme="1"/>
        <rFont val="맑은 고딕"/>
        <family val="3"/>
        <charset val="129"/>
      </rPr>
      <t>댓글</t>
    </r>
    <r>
      <rPr>
        <sz val="8"/>
        <color theme="1"/>
        <rFont val="Arial"/>
        <family val="2"/>
      </rPr>
      <t>)</t>
    </r>
    <phoneticPr fontId="11" type="noConversion"/>
  </si>
  <si>
    <t>관리자 페이지</t>
    <phoneticPr fontId="11" type="noConversion"/>
  </si>
  <si>
    <r>
      <rPr>
        <sz val="8"/>
        <color theme="1"/>
        <rFont val="맑은 고딕"/>
        <family val="3"/>
        <charset val="129"/>
      </rPr>
      <t xml:space="preserve">관리자 페이지 </t>
    </r>
    <r>
      <rPr>
        <sz val="8"/>
        <color theme="1"/>
        <rFont val="Arial"/>
        <family val="3"/>
      </rPr>
      <t xml:space="preserve">API </t>
    </r>
    <r>
      <rPr>
        <sz val="8"/>
        <color theme="1"/>
        <rFont val="맑은 고딕"/>
        <family val="3"/>
        <charset val="129"/>
      </rPr>
      <t>및 비즈니스 로직 구현</t>
    </r>
    <phoneticPr fontId="11" type="noConversion"/>
  </si>
  <si>
    <t>상품 상세보기 및 목록 조회 API 및 비즈니스 로직 구현</t>
    <phoneticPr fontId="11" type="noConversion"/>
  </si>
  <si>
    <t>회원 정보 조회, 수정 API 및 비즈니스 로직 구현</t>
    <phoneticPr fontId="11" type="noConversion"/>
  </si>
  <si>
    <t>구매내역 조회 및 상풍 확인(배송중 등) 조회 API 및 비즈니스 로직 구현</t>
    <phoneticPr fontId="11" type="noConversion"/>
  </si>
  <si>
    <t>리뷰 내역 조회 및 찜목록 조회 API 및 비즈니스 로직 구현</t>
    <phoneticPr fontId="11" type="noConversion"/>
  </si>
  <si>
    <r>
      <rPr>
        <sz val="8"/>
        <color theme="1"/>
        <rFont val="맑은 고딕"/>
        <family val="3"/>
        <charset val="129"/>
      </rPr>
      <t>데이터</t>
    </r>
    <r>
      <rPr>
        <sz val="8"/>
        <color theme="1"/>
        <rFont val="Arial"/>
        <family val="2"/>
      </rPr>
      <t xml:space="preserve"> DB</t>
    </r>
    <r>
      <rPr>
        <sz val="8"/>
        <color theme="1"/>
        <rFont val="맑은 고딕"/>
        <family val="3"/>
        <charset val="129"/>
      </rPr>
      <t>에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반영</t>
    </r>
    <phoneticPr fontId="11" type="noConversion"/>
  </si>
  <si>
    <t>메인 상품 API, 검색API 및 비즈니스 로직 API 및 비즈니스 로직 구현</t>
    <phoneticPr fontId="11" type="noConversion"/>
  </si>
  <si>
    <r>
      <rPr>
        <sz val="8"/>
        <color theme="1"/>
        <rFont val="맑은 고딕"/>
        <family val="3"/>
        <charset val="129"/>
      </rPr>
      <t>회원가입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및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로그인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로직 구현</t>
    </r>
    <r>
      <rPr>
        <sz val="8"/>
        <color theme="1"/>
        <rFont val="Arial"/>
        <family val="3"/>
        <charset val="129"/>
      </rPr>
      <t xml:space="preserve"> API </t>
    </r>
    <r>
      <rPr>
        <sz val="8"/>
        <color theme="1"/>
        <rFont val="맑은 고딕"/>
        <family val="3"/>
        <charset val="129"/>
      </rPr>
      <t>및</t>
    </r>
    <r>
      <rPr>
        <sz val="8"/>
        <color theme="1"/>
        <rFont val="Arial"/>
        <family val="3"/>
        <charset val="129"/>
      </rPr>
      <t xml:space="preserve"> </t>
    </r>
    <r>
      <rPr>
        <sz val="8"/>
        <color theme="1"/>
        <rFont val="맑은 고딕"/>
        <family val="3"/>
        <charset val="129"/>
      </rPr>
      <t>비즈니스</t>
    </r>
    <r>
      <rPr>
        <sz val="8"/>
        <color theme="1"/>
        <rFont val="Arial"/>
        <family val="3"/>
        <charset val="129"/>
      </rPr>
      <t xml:space="preserve"> </t>
    </r>
    <r>
      <rPr>
        <sz val="8"/>
        <color theme="1"/>
        <rFont val="맑은 고딕"/>
        <family val="3"/>
        <charset val="129"/>
      </rPr>
      <t>로직</t>
    </r>
    <r>
      <rPr>
        <sz val="8"/>
        <color theme="1"/>
        <rFont val="Arial"/>
        <family val="3"/>
        <charset val="129"/>
      </rPr>
      <t xml:space="preserve"> </t>
    </r>
    <r>
      <rPr>
        <sz val="8"/>
        <color theme="1"/>
        <rFont val="맑은 고딕"/>
        <family val="3"/>
        <charset val="129"/>
      </rPr>
      <t>구현</t>
    </r>
    <phoneticPr fontId="11" type="noConversion"/>
  </si>
  <si>
    <r>
      <rPr>
        <sz val="8"/>
        <color theme="1"/>
        <rFont val="맑은 고딕"/>
        <family val="3"/>
        <charset val="129"/>
      </rPr>
      <t>리뷰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작성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조회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삭제</t>
    </r>
    <r>
      <rPr>
        <sz val="8"/>
        <color theme="1"/>
        <rFont val="Arial"/>
        <family val="2"/>
      </rPr>
      <t xml:space="preserve"> CRUD API </t>
    </r>
    <r>
      <rPr>
        <sz val="8"/>
        <color theme="1"/>
        <rFont val="맑은 고딕"/>
        <family val="2"/>
        <charset val="129"/>
      </rPr>
      <t>및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비즈니스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로직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구현</t>
    </r>
    <phoneticPr fontId="11" type="noConversion"/>
  </si>
  <si>
    <t>메인 페이지 및 상품 페이지</t>
    <phoneticPr fontId="11" type="noConversion"/>
  </si>
  <si>
    <t>마이페이지 및 로그인페이지</t>
    <phoneticPr fontId="11" type="noConversion"/>
  </si>
  <si>
    <r>
      <rPr>
        <sz val="8"/>
        <color theme="1"/>
        <rFont val="맑은 고딕"/>
        <family val="3"/>
        <charset val="129"/>
      </rPr>
      <t>보상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체계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관련</t>
    </r>
    <r>
      <rPr>
        <sz val="8"/>
        <color theme="1"/>
        <rFont val="Arial"/>
        <family val="2"/>
      </rPr>
      <t xml:space="preserve">( </t>
    </r>
    <r>
      <rPr>
        <sz val="8"/>
        <color theme="1"/>
        <rFont val="맑은 고딕"/>
        <family val="3"/>
        <charset val="129"/>
      </rPr>
      <t>혜택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시스템</t>
    </r>
    <r>
      <rPr>
        <sz val="8"/>
        <color theme="1"/>
        <rFont val="Arial"/>
        <family val="2"/>
      </rPr>
      <t xml:space="preserve"> )</t>
    </r>
    <phoneticPr fontId="11" type="noConversion"/>
  </si>
  <si>
    <t>이재빈</t>
    <phoneticPr fontId="11" type="noConversion"/>
  </si>
  <si>
    <t>김석현</t>
    <phoneticPr fontId="11" type="noConversion"/>
  </si>
  <si>
    <t>메인페이지 프로토타입 구현</t>
  </si>
  <si>
    <t>정윤성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</si>
</sst>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28">
    <font>
      <sz val="11"/>
      <color theme="1"/>
      <name val="Aptos Narrow"/>
      <scheme val="minor"/>
    </font>
    <font>
      <sz val="11"/>
      <color theme="1"/>
      <name val="Arial"/>
    </font>
    <font>
      <b/>
      <sz val="11"/>
      <color rgb="FF000000"/>
      <name val="맑은 고딕"/>
      <family val="3"/>
      <charset val="129"/>
    </font>
    <font>
      <sz val="11"/>
      <color rgb="FF000000"/>
      <name val="Arial"/>
      <family val="2"/>
    </font>
    <font>
      <b/>
      <sz val="12"/>
      <color rgb="FF000000"/>
      <name val="Calibri"/>
      <family val="2"/>
    </font>
    <font>
      <sz val="11"/>
      <name val="Aptos Narrow"/>
      <family val="2"/>
    </font>
    <font>
      <sz val="11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1"/>
      <color theme="1"/>
      <name val="Arial"/>
      <family val="2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rgb="FF000000"/>
      <name val="Arial"/>
      <family val="3"/>
    </font>
    <font>
      <b/>
      <sz val="11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8"/>
      <color theme="1"/>
      <name val="Malgun Gothic"/>
      <family val="3"/>
      <charset val="129"/>
    </font>
    <font>
      <b/>
      <sz val="8"/>
      <color rgb="FF4285F4"/>
      <name val="Malgun Gothic"/>
      <family val="3"/>
      <charset val="129"/>
    </font>
    <font>
      <b/>
      <sz val="8"/>
      <color rgb="FFFF0000"/>
      <name val="Malgun Gothic"/>
      <family val="3"/>
      <charset val="129"/>
    </font>
    <font>
      <b/>
      <sz val="8"/>
      <color rgb="FFEA4335"/>
      <name val="Malgun Gothic"/>
      <family val="3"/>
      <charset val="129"/>
    </font>
    <font>
      <sz val="8"/>
      <color theme="1"/>
      <name val="Arial"/>
      <family val="2"/>
    </font>
    <font>
      <sz val="8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sz val="10"/>
      <color theme="1"/>
      <name val="Malgun Gothic"/>
      <family val="3"/>
      <charset val="129"/>
    </font>
    <font>
      <sz val="8"/>
      <color theme="1"/>
      <name val="맑은 고딕"/>
      <family val="2"/>
      <charset val="129"/>
    </font>
    <font>
      <sz val="8"/>
      <color theme="1"/>
      <name val="맑은 고딕"/>
      <family val="3"/>
      <charset val="129"/>
    </font>
    <font>
      <sz val="8"/>
      <color theme="1"/>
      <name val="Arial"/>
      <family val="3"/>
      <charset val="129"/>
    </font>
    <font>
      <sz val="8"/>
      <color theme="1"/>
      <name val="Arial"/>
      <family val="3"/>
    </font>
  </fonts>
  <fills count="17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9FC5E8"/>
        <bgColor rgb="FF9FC5E8"/>
      </patternFill>
    </fill>
    <fill>
      <patternFill patternType="solid">
        <fgColor rgb="FFFFFF9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4A7D6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74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1" xfId="0" applyFont="1" applyBorder="1"/>
    <xf numFmtId="0" fontId="12" fillId="0" borderId="0" xfId="0" applyFont="1" applyAlignment="1">
      <alignment vertical="center"/>
    </xf>
    <xf numFmtId="0" fontId="8" fillId="4" borderId="2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13" fillId="0" borderId="0" xfId="0" applyFont="1" applyAlignment="1">
      <alignment horizontal="left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6" fillId="6" borderId="4" xfId="0" applyFont="1" applyFill="1" applyBorder="1" applyAlignment="1">
      <alignment horizontal="center" vertical="center" wrapText="1"/>
    </xf>
    <xf numFmtId="0" fontId="16" fillId="6" borderId="5" xfId="0" applyFont="1" applyFill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9" fillId="6" borderId="5" xfId="0" applyFont="1" applyFill="1" applyBorder="1" applyAlignment="1">
      <alignment horizontal="center" vertical="center" wrapText="1"/>
    </xf>
    <xf numFmtId="0" fontId="10" fillId="6" borderId="6" xfId="0" applyFont="1" applyFill="1" applyBorder="1" applyAlignment="1">
      <alignment vertical="center" wrapText="1"/>
    </xf>
    <xf numFmtId="0" fontId="10" fillId="6" borderId="7" xfId="0" applyFont="1" applyFill="1" applyBorder="1" applyAlignment="1">
      <alignment vertical="center" wrapText="1"/>
    </xf>
    <xf numFmtId="176" fontId="16" fillId="6" borderId="7" xfId="0" applyNumberFormat="1" applyFont="1" applyFill="1" applyBorder="1" applyAlignment="1">
      <alignment horizontal="center" vertical="center" wrapText="1"/>
    </xf>
    <xf numFmtId="176" fontId="17" fillId="6" borderId="7" xfId="0" applyNumberFormat="1" applyFont="1" applyFill="1" applyBorder="1" applyAlignment="1">
      <alignment horizontal="center" vertical="center" wrapText="1"/>
    </xf>
    <xf numFmtId="176" fontId="18" fillId="6" borderId="7" xfId="0" applyNumberFormat="1" applyFont="1" applyFill="1" applyBorder="1" applyAlignment="1">
      <alignment horizontal="center" vertical="center" wrapText="1"/>
    </xf>
    <xf numFmtId="176" fontId="19" fillId="6" borderId="7" xfId="0" applyNumberFormat="1" applyFont="1" applyFill="1" applyBorder="1" applyAlignment="1">
      <alignment horizontal="center" vertical="center" wrapText="1"/>
    </xf>
    <xf numFmtId="0" fontId="20" fillId="7" borderId="7" xfId="0" applyFont="1" applyFill="1" applyBorder="1" applyAlignment="1">
      <alignment vertical="center" wrapText="1"/>
    </xf>
    <xf numFmtId="10" fontId="21" fillId="0" borderId="7" xfId="0" applyNumberFormat="1" applyFont="1" applyBorder="1" applyAlignment="1">
      <alignment horizontal="right" vertical="center" wrapText="1"/>
    </xf>
    <xf numFmtId="0" fontId="22" fillId="8" borderId="7" xfId="0" applyFont="1" applyFill="1" applyBorder="1" applyAlignment="1">
      <alignment horizontal="center" vertical="center" wrapText="1"/>
    </xf>
    <xf numFmtId="14" fontId="21" fillId="8" borderId="7" xfId="0" applyNumberFormat="1" applyFont="1" applyFill="1" applyBorder="1" applyAlignment="1">
      <alignment horizontal="center" vertical="center" wrapText="1"/>
    </xf>
    <xf numFmtId="0" fontId="22" fillId="8" borderId="7" xfId="0" applyFont="1" applyFill="1" applyBorder="1" applyAlignment="1">
      <alignment vertical="center" wrapText="1"/>
    </xf>
    <xf numFmtId="0" fontId="10" fillId="9" borderId="7" xfId="0" applyFont="1" applyFill="1" applyBorder="1" applyAlignment="1">
      <alignment vertical="center" wrapText="1"/>
    </xf>
    <xf numFmtId="0" fontId="10" fillId="0" borderId="7" xfId="0" applyFont="1" applyBorder="1" applyAlignment="1">
      <alignment vertical="center" wrapText="1"/>
    </xf>
    <xf numFmtId="0" fontId="10" fillId="10" borderId="7" xfId="0" applyFont="1" applyFill="1" applyBorder="1" applyAlignment="1">
      <alignment vertical="center" wrapText="1"/>
    </xf>
    <xf numFmtId="0" fontId="10" fillId="8" borderId="7" xfId="0" applyFont="1" applyFill="1" applyBorder="1" applyAlignment="1">
      <alignment vertical="center" wrapText="1"/>
    </xf>
    <xf numFmtId="0" fontId="9" fillId="7" borderId="7" xfId="0" applyFont="1" applyFill="1" applyBorder="1" applyAlignment="1">
      <alignment vertical="center" wrapText="1"/>
    </xf>
    <xf numFmtId="0" fontId="9" fillId="11" borderId="7" xfId="0" applyFont="1" applyFill="1" applyBorder="1" applyAlignment="1">
      <alignment vertical="center" wrapText="1"/>
    </xf>
    <xf numFmtId="0" fontId="7" fillId="7" borderId="7" xfId="0" applyFont="1" applyFill="1" applyBorder="1" applyAlignment="1">
      <alignment vertical="center" wrapText="1"/>
    </xf>
    <xf numFmtId="0" fontId="20" fillId="12" borderId="7" xfId="0" applyFont="1" applyFill="1" applyBorder="1" applyAlignment="1">
      <alignment vertical="center" wrapText="1"/>
    </xf>
    <xf numFmtId="0" fontId="10" fillId="13" borderId="7" xfId="0" applyFont="1" applyFill="1" applyBorder="1" applyAlignment="1">
      <alignment vertical="center" wrapText="1"/>
    </xf>
    <xf numFmtId="0" fontId="9" fillId="12" borderId="7" xfId="0" applyFont="1" applyFill="1" applyBorder="1" applyAlignment="1">
      <alignment vertical="center" wrapText="1"/>
    </xf>
    <xf numFmtId="0" fontId="24" fillId="11" borderId="7" xfId="0" applyFont="1" applyFill="1" applyBorder="1" applyAlignment="1">
      <alignment vertical="center" wrapText="1"/>
    </xf>
    <xf numFmtId="0" fontId="26" fillId="11" borderId="7" xfId="0" applyFont="1" applyFill="1" applyBorder="1" applyAlignment="1">
      <alignment vertical="center" wrapText="1"/>
    </xf>
    <xf numFmtId="0" fontId="25" fillId="11" borderId="7" xfId="0" applyFont="1" applyFill="1" applyBorder="1" applyAlignment="1">
      <alignment vertical="center" wrapText="1"/>
    </xf>
    <xf numFmtId="0" fontId="26" fillId="12" borderId="7" xfId="0" applyFont="1" applyFill="1" applyBorder="1" applyAlignment="1">
      <alignment vertical="center" wrapText="1"/>
    </xf>
    <xf numFmtId="0" fontId="23" fillId="0" borderId="8" xfId="0" applyFont="1" applyBorder="1" applyAlignment="1">
      <alignment vertical="center" wrapText="1"/>
    </xf>
    <xf numFmtId="0" fontId="23" fillId="0" borderId="10" xfId="0" applyFont="1" applyBorder="1" applyAlignment="1">
      <alignment vertical="center" wrapText="1"/>
    </xf>
    <xf numFmtId="0" fontId="23" fillId="0" borderId="9" xfId="0" applyFont="1" applyBorder="1" applyAlignment="1">
      <alignment vertical="center" wrapText="1"/>
    </xf>
    <xf numFmtId="0" fontId="23" fillId="0" borderId="8" xfId="0" applyFont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6" fillId="6" borderId="8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15" fillId="14" borderId="7" xfId="0" applyFont="1" applyFill="1" applyBorder="1" applyAlignment="1">
      <alignment horizontal="center" vertical="center" wrapText="1"/>
    </xf>
    <xf numFmtId="10" fontId="21" fillId="14" borderId="7" xfId="0" applyNumberFormat="1" applyFont="1" applyFill="1" applyBorder="1" applyAlignment="1">
      <alignment horizontal="right" vertical="center" wrapText="1"/>
    </xf>
    <xf numFmtId="0" fontId="22" fillId="14" borderId="7" xfId="0" applyFont="1" applyFill="1" applyBorder="1" applyAlignment="1">
      <alignment horizontal="center" vertical="center" wrapText="1"/>
    </xf>
    <xf numFmtId="14" fontId="21" fillId="14" borderId="7" xfId="0" applyNumberFormat="1" applyFont="1" applyFill="1" applyBorder="1" applyAlignment="1">
      <alignment horizontal="center" vertical="center" wrapText="1"/>
    </xf>
    <xf numFmtId="0" fontId="22" fillId="15" borderId="7" xfId="0" applyFont="1" applyFill="1" applyBorder="1" applyAlignment="1">
      <alignment vertical="center" wrapText="1"/>
    </xf>
    <xf numFmtId="0" fontId="24" fillId="12" borderId="7" xfId="0" applyFont="1" applyFill="1" applyBorder="1" applyAlignment="1">
      <alignment vertical="center" wrapText="1"/>
    </xf>
    <xf numFmtId="0" fontId="22" fillId="12" borderId="7" xfId="0" applyFont="1" applyFill="1" applyBorder="1" applyAlignment="1">
      <alignment vertical="center" wrapText="1"/>
    </xf>
    <xf numFmtId="0" fontId="20" fillId="16" borderId="11" xfId="0" applyFont="1" applyFill="1" applyBorder="1" applyAlignment="1">
      <alignment horizontal="center" vertical="center" wrapText="1"/>
    </xf>
    <xf numFmtId="0" fontId="20" fillId="16" borderId="12" xfId="0" applyFont="1" applyFill="1" applyBorder="1" applyAlignment="1">
      <alignment horizontal="center" vertical="center" wrapText="1"/>
    </xf>
    <xf numFmtId="0" fontId="20" fillId="16" borderId="13" xfId="0" applyFont="1" applyFill="1" applyBorder="1" applyAlignment="1">
      <alignment horizontal="center" vertical="center" wrapText="1"/>
    </xf>
    <xf numFmtId="0" fontId="25" fillId="16" borderId="11" xfId="0" applyFont="1" applyFill="1" applyBorder="1" applyAlignment="1">
      <alignment horizontal="center" vertical="center" wrapText="1"/>
    </xf>
    <xf numFmtId="0" fontId="25" fillId="16" borderId="12" xfId="0" applyFont="1" applyFill="1" applyBorder="1" applyAlignment="1">
      <alignment horizontal="center" vertical="center" wrapText="1"/>
    </xf>
    <xf numFmtId="0" fontId="25" fillId="16" borderId="13" xfId="0" applyFont="1" applyFill="1" applyBorder="1" applyAlignment="1">
      <alignment horizontal="center" vertical="center" wrapText="1"/>
    </xf>
    <xf numFmtId="0" fontId="24" fillId="16" borderId="11" xfId="0" applyFont="1" applyFill="1" applyBorder="1" applyAlignment="1">
      <alignment horizontal="center" vertical="center" wrapText="1"/>
    </xf>
    <xf numFmtId="0" fontId="24" fillId="16" borderId="12" xfId="0" applyFont="1" applyFill="1" applyBorder="1" applyAlignment="1">
      <alignment horizontal="center" vertical="center" wrapText="1"/>
    </xf>
    <xf numFmtId="0" fontId="24" fillId="16" borderId="13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9FC5E8"/>
      <color rgb="FFB4A7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N71"/>
  <sheetViews>
    <sheetView tabSelected="1" topLeftCell="A18" zoomScaleNormal="100" workbookViewId="0">
      <selection activeCell="G42" sqref="G42:G44"/>
    </sheetView>
  </sheetViews>
  <sheetFormatPr defaultColWidth="12.5703125" defaultRowHeight="15" customHeight="1"/>
  <cols>
    <col min="2" max="2" width="60.5703125" customWidth="1"/>
    <col min="7" max="7" width="22.28515625" customWidth="1"/>
  </cols>
  <sheetData>
    <row r="1" spans="1:66" ht="16.5" thickBot="1">
      <c r="A1" s="4" t="s">
        <v>0</v>
      </c>
      <c r="B1" s="5" t="s">
        <v>4</v>
      </c>
      <c r="C1" s="50" t="s">
        <v>5</v>
      </c>
      <c r="D1" s="51"/>
      <c r="E1" s="51"/>
      <c r="F1" s="52" t="s">
        <v>6</v>
      </c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</row>
    <row r="2" spans="1:66" ht="15" customHeight="1" thickBot="1">
      <c r="A2" s="12" t="s">
        <v>1</v>
      </c>
      <c r="B2" s="13" t="s">
        <v>99</v>
      </c>
      <c r="C2" s="14" t="s">
        <v>7</v>
      </c>
      <c r="D2" s="14" t="s">
        <v>8</v>
      </c>
      <c r="E2" s="14" t="s">
        <v>9</v>
      </c>
      <c r="F2" s="14" t="s">
        <v>10</v>
      </c>
      <c r="G2" s="53" t="s">
        <v>11</v>
      </c>
      <c r="H2" s="15" t="s">
        <v>12</v>
      </c>
      <c r="I2" s="15" t="s">
        <v>13</v>
      </c>
      <c r="J2" s="15" t="s">
        <v>14</v>
      </c>
      <c r="K2" s="15" t="s">
        <v>15</v>
      </c>
      <c r="L2" s="16" t="s">
        <v>16</v>
      </c>
      <c r="M2" s="17" t="s">
        <v>17</v>
      </c>
      <c r="N2" s="15" t="s">
        <v>18</v>
      </c>
      <c r="O2" s="15" t="s">
        <v>19</v>
      </c>
      <c r="P2" s="15" t="s">
        <v>20</v>
      </c>
      <c r="Q2" s="15" t="s">
        <v>21</v>
      </c>
      <c r="R2" s="15" t="s">
        <v>22</v>
      </c>
      <c r="S2" s="16" t="s">
        <v>23</v>
      </c>
      <c r="T2" s="17" t="s">
        <v>24</v>
      </c>
      <c r="U2" s="15" t="s">
        <v>25</v>
      </c>
      <c r="V2" s="15" t="s">
        <v>26</v>
      </c>
      <c r="W2" s="15" t="s">
        <v>27</v>
      </c>
      <c r="X2" s="15" t="s">
        <v>28</v>
      </c>
      <c r="Y2" s="15" t="s">
        <v>29</v>
      </c>
      <c r="Z2" s="16" t="s">
        <v>30</v>
      </c>
      <c r="AA2" s="17" t="s">
        <v>31</v>
      </c>
      <c r="AB2" s="15" t="s">
        <v>32</v>
      </c>
      <c r="AC2" s="15" t="s">
        <v>33</v>
      </c>
      <c r="AD2" s="15" t="s">
        <v>34</v>
      </c>
      <c r="AE2" s="15" t="s">
        <v>35</v>
      </c>
      <c r="AF2" s="15" t="s">
        <v>36</v>
      </c>
      <c r="AG2" s="16" t="s">
        <v>37</v>
      </c>
      <c r="AH2" s="17" t="s">
        <v>38</v>
      </c>
      <c r="AI2" s="15" t="s">
        <v>39</v>
      </c>
      <c r="AJ2" s="15" t="s">
        <v>40</v>
      </c>
      <c r="AK2" s="15" t="s">
        <v>41</v>
      </c>
      <c r="AL2" s="15" t="s">
        <v>42</v>
      </c>
      <c r="AM2" s="15" t="s">
        <v>43</v>
      </c>
      <c r="AN2" s="16" t="s">
        <v>44</v>
      </c>
      <c r="AO2" s="17" t="s">
        <v>45</v>
      </c>
      <c r="AP2" s="15" t="s">
        <v>46</v>
      </c>
      <c r="AQ2" s="15" t="s">
        <v>47</v>
      </c>
      <c r="AR2" s="15" t="s">
        <v>48</v>
      </c>
      <c r="AS2" s="15" t="s">
        <v>49</v>
      </c>
      <c r="AT2" s="15" t="s">
        <v>50</v>
      </c>
      <c r="AU2" s="16" t="s">
        <v>51</v>
      </c>
      <c r="AV2" s="17" t="s">
        <v>52</v>
      </c>
      <c r="AW2" s="15" t="s">
        <v>53</v>
      </c>
      <c r="AX2" s="15" t="s">
        <v>54</v>
      </c>
      <c r="AY2" s="15" t="s">
        <v>55</v>
      </c>
      <c r="AZ2" s="15" t="s">
        <v>56</v>
      </c>
      <c r="BA2" s="15" t="s">
        <v>57</v>
      </c>
      <c r="BB2" s="16" t="s">
        <v>58</v>
      </c>
      <c r="BC2" s="17" t="s">
        <v>59</v>
      </c>
      <c r="BD2" s="15" t="s">
        <v>60</v>
      </c>
      <c r="BE2" s="15" t="s">
        <v>61</v>
      </c>
      <c r="BF2" s="15" t="s">
        <v>62</v>
      </c>
      <c r="BG2" s="15" t="s">
        <v>63</v>
      </c>
      <c r="BH2" s="15" t="s">
        <v>64</v>
      </c>
      <c r="BI2" s="16" t="s">
        <v>65</v>
      </c>
      <c r="BJ2" s="18" t="s">
        <v>66</v>
      </c>
      <c r="BK2" s="15" t="s">
        <v>67</v>
      </c>
      <c r="BL2" s="15" t="s">
        <v>68</v>
      </c>
      <c r="BM2" s="15" t="s">
        <v>69</v>
      </c>
      <c r="BN2" s="15" t="s">
        <v>70</v>
      </c>
    </row>
    <row r="3" spans="1:66" ht="15" customHeight="1" thickBot="1">
      <c r="A3" s="19"/>
      <c r="B3" s="20"/>
      <c r="C3" s="20"/>
      <c r="D3" s="20"/>
      <c r="E3" s="20"/>
      <c r="F3" s="20"/>
      <c r="G3" s="54"/>
      <c r="H3" s="21">
        <v>45951</v>
      </c>
      <c r="I3" s="21">
        <v>45952</v>
      </c>
      <c r="J3" s="21">
        <v>45953</v>
      </c>
      <c r="K3" s="21">
        <v>45954</v>
      </c>
      <c r="L3" s="22">
        <v>45955</v>
      </c>
      <c r="M3" s="23">
        <v>45956</v>
      </c>
      <c r="N3" s="21">
        <v>45957</v>
      </c>
      <c r="O3" s="21">
        <v>45958</v>
      </c>
      <c r="P3" s="21">
        <v>45959</v>
      </c>
      <c r="Q3" s="21">
        <v>45960</v>
      </c>
      <c r="R3" s="21">
        <v>45961</v>
      </c>
      <c r="S3" s="22">
        <v>45962</v>
      </c>
      <c r="T3" s="23">
        <v>45963</v>
      </c>
      <c r="U3" s="21">
        <v>45964</v>
      </c>
      <c r="V3" s="21">
        <v>45965</v>
      </c>
      <c r="W3" s="21">
        <v>45966</v>
      </c>
      <c r="X3" s="21">
        <v>45967</v>
      </c>
      <c r="Y3" s="21">
        <v>45968</v>
      </c>
      <c r="Z3" s="22">
        <v>45969</v>
      </c>
      <c r="AA3" s="23">
        <v>45970</v>
      </c>
      <c r="AB3" s="21">
        <v>45971</v>
      </c>
      <c r="AC3" s="21">
        <v>45972</v>
      </c>
      <c r="AD3" s="21">
        <v>45973</v>
      </c>
      <c r="AE3" s="21">
        <v>45974</v>
      </c>
      <c r="AF3" s="21">
        <v>45975</v>
      </c>
      <c r="AG3" s="22">
        <v>45976</v>
      </c>
      <c r="AH3" s="23">
        <v>45977</v>
      </c>
      <c r="AI3" s="21">
        <v>45978</v>
      </c>
      <c r="AJ3" s="21">
        <v>45979</v>
      </c>
      <c r="AK3" s="21">
        <v>45980</v>
      </c>
      <c r="AL3" s="21">
        <v>45981</v>
      </c>
      <c r="AM3" s="21">
        <v>45982</v>
      </c>
      <c r="AN3" s="22">
        <v>45983</v>
      </c>
      <c r="AO3" s="23">
        <v>45984</v>
      </c>
      <c r="AP3" s="21">
        <v>45985</v>
      </c>
      <c r="AQ3" s="21">
        <v>45986</v>
      </c>
      <c r="AR3" s="21">
        <v>45987</v>
      </c>
      <c r="AS3" s="21">
        <v>45988</v>
      </c>
      <c r="AT3" s="21">
        <v>45989</v>
      </c>
      <c r="AU3" s="22">
        <v>45990</v>
      </c>
      <c r="AV3" s="23">
        <v>45991</v>
      </c>
      <c r="AW3" s="21">
        <v>45992</v>
      </c>
      <c r="AX3" s="21">
        <v>45993</v>
      </c>
      <c r="AY3" s="21">
        <v>45994</v>
      </c>
      <c r="AZ3" s="21">
        <v>45995</v>
      </c>
      <c r="BA3" s="21">
        <v>45996</v>
      </c>
      <c r="BB3" s="22">
        <v>45997</v>
      </c>
      <c r="BC3" s="23">
        <v>45998</v>
      </c>
      <c r="BD3" s="21">
        <v>45999</v>
      </c>
      <c r="BE3" s="21">
        <v>46000</v>
      </c>
      <c r="BF3" s="21">
        <v>46001</v>
      </c>
      <c r="BG3" s="21">
        <v>46002</v>
      </c>
      <c r="BH3" s="21">
        <v>46003</v>
      </c>
      <c r="BI3" s="22">
        <v>46004</v>
      </c>
      <c r="BJ3" s="24">
        <v>46005</v>
      </c>
      <c r="BK3" s="21">
        <v>46006</v>
      </c>
      <c r="BL3" s="21">
        <v>46007</v>
      </c>
      <c r="BM3" s="21">
        <v>46008</v>
      </c>
      <c r="BN3" s="21">
        <v>46009</v>
      </c>
    </row>
    <row r="4" spans="1:66" ht="15" customHeight="1" thickBot="1">
      <c r="A4" s="55" t="s">
        <v>71</v>
      </c>
      <c r="B4" s="25" t="s">
        <v>72</v>
      </c>
      <c r="C4" s="26" t="str">
        <f ca="1">ROUND(MAX(0, MIN(TODAY(), F4) - E4) / (F4 - E4) * 100, 1) &amp; "%"</f>
        <v>100%</v>
      </c>
      <c r="D4" s="27">
        <f t="shared" ref="D4:D49" si="0">IF(AND(F4&lt;&gt;"", E4&lt;&gt;""), F4-E4+1, "")</f>
        <v>2</v>
      </c>
      <c r="E4" s="28">
        <v>45951</v>
      </c>
      <c r="F4" s="28">
        <v>45952</v>
      </c>
      <c r="G4" s="62" t="s">
        <v>100</v>
      </c>
      <c r="H4" s="30"/>
      <c r="I4" s="30"/>
      <c r="J4" s="31"/>
      <c r="K4" s="31"/>
      <c r="L4" s="32"/>
      <c r="M4" s="33"/>
      <c r="N4" s="31"/>
      <c r="O4" s="31"/>
      <c r="P4" s="31"/>
      <c r="Q4" s="31"/>
      <c r="R4" s="31"/>
      <c r="S4" s="32"/>
      <c r="T4" s="33"/>
      <c r="U4" s="31"/>
      <c r="V4" s="31"/>
      <c r="W4" s="31"/>
      <c r="X4" s="31"/>
      <c r="Y4" s="31"/>
      <c r="Z4" s="32"/>
      <c r="AA4" s="33"/>
      <c r="AB4" s="31"/>
      <c r="AC4" s="31"/>
      <c r="AD4" s="31"/>
      <c r="AE4" s="31"/>
      <c r="AF4" s="31"/>
      <c r="AG4" s="32"/>
      <c r="AH4" s="33"/>
      <c r="AI4" s="31"/>
      <c r="AJ4" s="31"/>
      <c r="AK4" s="31"/>
      <c r="AL4" s="31"/>
      <c r="AM4" s="31"/>
      <c r="AN4" s="32"/>
      <c r="AO4" s="33"/>
      <c r="AP4" s="31"/>
      <c r="AQ4" s="31"/>
      <c r="AR4" s="31"/>
      <c r="AS4" s="31"/>
      <c r="AT4" s="31"/>
      <c r="AU4" s="32"/>
      <c r="AV4" s="33"/>
      <c r="AW4" s="31"/>
      <c r="AX4" s="31"/>
      <c r="AY4" s="31"/>
      <c r="AZ4" s="31"/>
      <c r="BA4" s="31"/>
      <c r="BB4" s="32"/>
      <c r="BC4" s="33"/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1"/>
    </row>
    <row r="5" spans="1:66" ht="15" customHeight="1" thickBot="1">
      <c r="A5" s="56"/>
      <c r="B5" s="25" t="s">
        <v>73</v>
      </c>
      <c r="C5" s="26" t="str">
        <f ca="1">ROUND(MAX(0, MIN(TODAY(), F5) - E5) / (F5 - E5) * 100, 1) &amp; "%"</f>
        <v>100%</v>
      </c>
      <c r="D5" s="27">
        <f t="shared" si="0"/>
        <v>2</v>
      </c>
      <c r="E5" s="28">
        <v>45951</v>
      </c>
      <c r="F5" s="28">
        <v>45952</v>
      </c>
      <c r="G5" s="62" t="s">
        <v>100</v>
      </c>
      <c r="H5" s="30"/>
      <c r="I5" s="30"/>
      <c r="J5" s="31"/>
      <c r="K5" s="31"/>
      <c r="L5" s="32"/>
      <c r="M5" s="33"/>
      <c r="N5" s="31"/>
      <c r="O5" s="31"/>
      <c r="P5" s="31"/>
      <c r="Q5" s="31"/>
      <c r="R5" s="31"/>
      <c r="S5" s="32"/>
      <c r="T5" s="33"/>
      <c r="U5" s="31"/>
      <c r="V5" s="31"/>
      <c r="W5" s="31"/>
      <c r="X5" s="31"/>
      <c r="Y5" s="31"/>
      <c r="Z5" s="32"/>
      <c r="AA5" s="33"/>
      <c r="AB5" s="31"/>
      <c r="AC5" s="31"/>
      <c r="AD5" s="31"/>
      <c r="AE5" s="31"/>
      <c r="AF5" s="31"/>
      <c r="AG5" s="32"/>
      <c r="AH5" s="33"/>
      <c r="AI5" s="31"/>
      <c r="AJ5" s="31"/>
      <c r="AK5" s="31"/>
      <c r="AL5" s="31"/>
      <c r="AM5" s="31"/>
      <c r="AN5" s="32"/>
      <c r="AO5" s="33"/>
      <c r="AP5" s="31"/>
      <c r="AQ5" s="31"/>
      <c r="AR5" s="31"/>
      <c r="AS5" s="31"/>
      <c r="AT5" s="31"/>
      <c r="AU5" s="32"/>
      <c r="AV5" s="33"/>
      <c r="AW5" s="31"/>
      <c r="AX5" s="31"/>
      <c r="AY5" s="31"/>
      <c r="AZ5" s="31"/>
      <c r="BA5" s="31"/>
      <c r="BB5" s="32"/>
      <c r="BC5" s="33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</row>
    <row r="6" spans="1:66" ht="15" customHeight="1" thickBot="1">
      <c r="A6" s="56"/>
      <c r="B6" s="25" t="s">
        <v>74</v>
      </c>
      <c r="C6" s="26" t="str">
        <f ca="1">ROUND(MAX(0, MIN(TODAY(), F6) - E6) / (F6 - E6) * 100, 1) &amp; "%"</f>
        <v>100%</v>
      </c>
      <c r="D6" s="27">
        <f t="shared" si="0"/>
        <v>2</v>
      </c>
      <c r="E6" s="28">
        <v>45951</v>
      </c>
      <c r="F6" s="28">
        <v>45952</v>
      </c>
      <c r="G6" s="62" t="s">
        <v>100</v>
      </c>
      <c r="H6" s="30"/>
      <c r="I6" s="30"/>
      <c r="J6" s="31"/>
      <c r="K6" s="31"/>
      <c r="L6" s="32"/>
      <c r="M6" s="33"/>
      <c r="N6" s="31"/>
      <c r="O6" s="31"/>
      <c r="P6" s="31"/>
      <c r="Q6" s="31"/>
      <c r="R6" s="31"/>
      <c r="S6" s="32"/>
      <c r="T6" s="33"/>
      <c r="U6" s="31"/>
      <c r="V6" s="31"/>
      <c r="W6" s="31"/>
      <c r="X6" s="31"/>
      <c r="Y6" s="31"/>
      <c r="Z6" s="32"/>
      <c r="AA6" s="33"/>
      <c r="AB6" s="31"/>
      <c r="AC6" s="31"/>
      <c r="AD6" s="31"/>
      <c r="AE6" s="31"/>
      <c r="AF6" s="31"/>
      <c r="AG6" s="32"/>
      <c r="AH6" s="33"/>
      <c r="AI6" s="31"/>
      <c r="AJ6" s="31"/>
      <c r="AK6" s="31"/>
      <c r="AL6" s="31"/>
      <c r="AM6" s="31"/>
      <c r="AN6" s="32"/>
      <c r="AO6" s="33"/>
      <c r="AP6" s="31"/>
      <c r="AQ6" s="31"/>
      <c r="AR6" s="31"/>
      <c r="AS6" s="31"/>
      <c r="AT6" s="31"/>
      <c r="AU6" s="32"/>
      <c r="AV6" s="33"/>
      <c r="AW6" s="31"/>
      <c r="AX6" s="31"/>
      <c r="AY6" s="31"/>
      <c r="AZ6" s="31"/>
      <c r="BA6" s="31"/>
      <c r="BB6" s="32"/>
      <c r="BC6" s="33"/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1"/>
    </row>
    <row r="7" spans="1:66" ht="15" customHeight="1" thickBot="1">
      <c r="A7" s="56"/>
      <c r="B7" s="34" t="s">
        <v>75</v>
      </c>
      <c r="C7" s="26" t="str">
        <f ca="1">ROUND(MAX(0, MIN(TODAY(), F7) - E7) / (F7 - E7) * 100, 1) &amp; "%"</f>
        <v>100%</v>
      </c>
      <c r="D7" s="27">
        <f t="shared" si="0"/>
        <v>11</v>
      </c>
      <c r="E7" s="28">
        <v>45951</v>
      </c>
      <c r="F7" s="28">
        <v>45961</v>
      </c>
      <c r="G7" s="62" t="s">
        <v>100</v>
      </c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2"/>
      <c r="T7" s="33"/>
      <c r="U7" s="31"/>
      <c r="V7" s="31"/>
      <c r="W7" s="31"/>
      <c r="X7" s="31"/>
      <c r="Y7" s="31"/>
      <c r="Z7" s="32"/>
      <c r="AA7" s="33"/>
      <c r="AB7" s="31"/>
      <c r="AC7" s="31"/>
      <c r="AD7" s="31"/>
      <c r="AE7" s="31"/>
      <c r="AF7" s="31"/>
      <c r="AG7" s="32"/>
      <c r="AH7" s="33"/>
      <c r="AI7" s="31"/>
      <c r="AJ7" s="31"/>
      <c r="AK7" s="31"/>
      <c r="AL7" s="31"/>
      <c r="AM7" s="31"/>
      <c r="AN7" s="32"/>
      <c r="AO7" s="33"/>
      <c r="AP7" s="31"/>
      <c r="AQ7" s="31"/>
      <c r="AR7" s="31"/>
      <c r="AS7" s="31"/>
      <c r="AT7" s="31"/>
      <c r="AU7" s="32"/>
      <c r="AV7" s="33"/>
      <c r="AW7" s="31"/>
      <c r="AX7" s="31"/>
      <c r="AY7" s="31"/>
      <c r="AZ7" s="31"/>
      <c r="BA7" s="31"/>
      <c r="BB7" s="32"/>
      <c r="BC7" s="33"/>
      <c r="BD7" s="31"/>
      <c r="BE7" s="31"/>
      <c r="BF7" s="31"/>
      <c r="BG7" s="31"/>
      <c r="BH7" s="31"/>
      <c r="BI7" s="31"/>
      <c r="BJ7" s="31"/>
      <c r="BK7" s="31"/>
      <c r="BL7" s="31"/>
      <c r="BM7" s="31"/>
      <c r="BN7" s="31"/>
    </row>
    <row r="8" spans="1:66" ht="15" customHeight="1" thickBot="1">
      <c r="A8" s="56"/>
      <c r="B8" s="35" t="s">
        <v>76</v>
      </c>
      <c r="C8" s="26" t="str">
        <f t="shared" ref="C8:C16" ca="1" si="1">IF(F8=E8, IF(TODAY()&gt;F8, "100%", "0%"), ROUND(MAX(0, MIN(TODAY(), F8) - E8) / (F8 - E8) * 100, 1) &amp; "%")</f>
        <v>100%</v>
      </c>
      <c r="D8" s="27">
        <f t="shared" si="0"/>
        <v>13</v>
      </c>
      <c r="E8" s="28">
        <v>45954</v>
      </c>
      <c r="F8" s="28">
        <v>45966</v>
      </c>
      <c r="G8" s="29" t="s">
        <v>101</v>
      </c>
      <c r="H8" s="31"/>
      <c r="I8" s="31"/>
      <c r="J8" s="31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1"/>
      <c r="Y8" s="31"/>
      <c r="Z8" s="32"/>
      <c r="AA8" s="33"/>
      <c r="AB8" s="31"/>
      <c r="AC8" s="31"/>
      <c r="AD8" s="31"/>
      <c r="AE8" s="31"/>
      <c r="AF8" s="31"/>
      <c r="AG8" s="32"/>
      <c r="AH8" s="33"/>
      <c r="AI8" s="31"/>
      <c r="AJ8" s="31"/>
      <c r="AK8" s="31"/>
      <c r="AL8" s="31"/>
      <c r="AM8" s="31"/>
      <c r="AN8" s="32"/>
      <c r="AO8" s="33"/>
      <c r="AP8" s="31"/>
      <c r="AQ8" s="31"/>
      <c r="AR8" s="31"/>
      <c r="AS8" s="31"/>
      <c r="AT8" s="31"/>
      <c r="AU8" s="32"/>
      <c r="AV8" s="33"/>
      <c r="AW8" s="31"/>
      <c r="AX8" s="31"/>
      <c r="AY8" s="31"/>
      <c r="AZ8" s="31"/>
      <c r="BA8" s="31"/>
      <c r="BB8" s="32"/>
      <c r="BC8" s="33"/>
      <c r="BD8" s="31"/>
      <c r="BE8" s="31"/>
      <c r="BF8" s="31"/>
      <c r="BG8" s="31"/>
      <c r="BH8" s="31"/>
      <c r="BI8" s="31"/>
      <c r="BJ8" s="31"/>
      <c r="BK8" s="31"/>
      <c r="BL8" s="31"/>
      <c r="BM8" s="31"/>
      <c r="BN8" s="31"/>
    </row>
    <row r="9" spans="1:66" ht="15" customHeight="1" thickBot="1">
      <c r="A9" s="56"/>
      <c r="B9" s="36" t="s">
        <v>77</v>
      </c>
      <c r="C9" s="26" t="str">
        <f t="shared" ca="1" si="1"/>
        <v>100%</v>
      </c>
      <c r="D9" s="27">
        <f t="shared" si="0"/>
        <v>1</v>
      </c>
      <c r="E9" s="28">
        <v>45962</v>
      </c>
      <c r="F9" s="28">
        <v>45962</v>
      </c>
      <c r="G9" s="62" t="s">
        <v>100</v>
      </c>
      <c r="H9" s="31"/>
      <c r="I9" s="31"/>
      <c r="J9" s="31"/>
      <c r="K9" s="31"/>
      <c r="L9" s="32"/>
      <c r="M9" s="33"/>
      <c r="N9" s="31"/>
      <c r="O9" s="31"/>
      <c r="P9" s="31"/>
      <c r="Q9" s="31"/>
      <c r="R9" s="31"/>
      <c r="S9" s="30"/>
      <c r="T9" s="33"/>
      <c r="U9" s="31"/>
      <c r="V9" s="31"/>
      <c r="W9" s="31"/>
      <c r="X9" s="31"/>
      <c r="Y9" s="31"/>
      <c r="Z9" s="32"/>
      <c r="AA9" s="33"/>
      <c r="AB9" s="31"/>
      <c r="AC9" s="31"/>
      <c r="AD9" s="31"/>
      <c r="AE9" s="31"/>
      <c r="AF9" s="31"/>
      <c r="AG9" s="32"/>
      <c r="AH9" s="33"/>
      <c r="AI9" s="31"/>
      <c r="AJ9" s="31"/>
      <c r="AK9" s="31"/>
      <c r="AL9" s="31"/>
      <c r="AM9" s="31"/>
      <c r="AN9" s="32"/>
      <c r="AO9" s="33"/>
      <c r="AP9" s="31"/>
      <c r="AQ9" s="31"/>
      <c r="AR9" s="31"/>
      <c r="AS9" s="31"/>
      <c r="AT9" s="31"/>
      <c r="AU9" s="32"/>
      <c r="AV9" s="33"/>
      <c r="AW9" s="31"/>
      <c r="AX9" s="31"/>
      <c r="AY9" s="31"/>
      <c r="AZ9" s="31"/>
      <c r="BA9" s="31"/>
      <c r="BB9" s="32"/>
      <c r="BC9" s="33"/>
      <c r="BD9" s="31"/>
      <c r="BE9" s="31"/>
      <c r="BF9" s="31"/>
      <c r="BG9" s="31"/>
      <c r="BH9" s="31"/>
      <c r="BI9" s="31"/>
      <c r="BJ9" s="31"/>
      <c r="BK9" s="31"/>
      <c r="BL9" s="31"/>
      <c r="BM9" s="31"/>
      <c r="BN9" s="31"/>
    </row>
    <row r="10" spans="1:66" ht="15" customHeight="1" thickBot="1">
      <c r="A10" s="56"/>
      <c r="B10" s="34" t="s">
        <v>78</v>
      </c>
      <c r="C10" s="26" t="str">
        <f t="shared" ca="1" si="1"/>
        <v>100%</v>
      </c>
      <c r="D10" s="27">
        <f t="shared" si="0"/>
        <v>10</v>
      </c>
      <c r="E10" s="28">
        <v>45952</v>
      </c>
      <c r="F10" s="28">
        <v>45961</v>
      </c>
      <c r="G10" s="62" t="s">
        <v>100</v>
      </c>
      <c r="H10" s="31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2"/>
      <c r="T10" s="33"/>
      <c r="U10" s="31"/>
      <c r="V10" s="31"/>
      <c r="W10" s="31"/>
      <c r="X10" s="31"/>
      <c r="Y10" s="31"/>
      <c r="Z10" s="32"/>
      <c r="AA10" s="33"/>
      <c r="AB10" s="31"/>
      <c r="AC10" s="31"/>
      <c r="AD10" s="31"/>
      <c r="AE10" s="31"/>
      <c r="AF10" s="31"/>
      <c r="AG10" s="32"/>
      <c r="AH10" s="33"/>
      <c r="AI10" s="31"/>
      <c r="AJ10" s="31"/>
      <c r="AK10" s="31"/>
      <c r="AL10" s="31"/>
      <c r="AM10" s="31"/>
      <c r="AN10" s="32"/>
      <c r="AO10" s="33"/>
      <c r="AP10" s="31"/>
      <c r="AQ10" s="31"/>
      <c r="AR10" s="31"/>
      <c r="AS10" s="31"/>
      <c r="AT10" s="31"/>
      <c r="AU10" s="32"/>
      <c r="AV10" s="33"/>
      <c r="AW10" s="31"/>
      <c r="AX10" s="31"/>
      <c r="AY10" s="31"/>
      <c r="AZ10" s="31"/>
      <c r="BA10" s="31"/>
      <c r="BB10" s="32"/>
      <c r="BC10" s="33"/>
      <c r="BD10" s="31"/>
      <c r="BE10" s="31"/>
      <c r="BF10" s="31"/>
      <c r="BG10" s="31"/>
      <c r="BH10" s="31"/>
      <c r="BI10" s="31"/>
      <c r="BJ10" s="31"/>
      <c r="BK10" s="31"/>
      <c r="BL10" s="31"/>
      <c r="BM10" s="31"/>
      <c r="BN10" s="31"/>
    </row>
    <row r="11" spans="1:66" ht="15" customHeight="1" thickBot="1">
      <c r="A11" s="57"/>
      <c r="B11" s="37" t="s">
        <v>79</v>
      </c>
      <c r="C11" s="26" t="str">
        <f t="shared" ca="1" si="1"/>
        <v>100%</v>
      </c>
      <c r="D11" s="27">
        <f t="shared" si="0"/>
        <v>2</v>
      </c>
      <c r="E11" s="28">
        <v>45957</v>
      </c>
      <c r="F11" s="28">
        <v>45958</v>
      </c>
      <c r="G11" s="63" t="s">
        <v>110</v>
      </c>
      <c r="H11" s="31"/>
      <c r="I11" s="31"/>
      <c r="J11" s="31"/>
      <c r="K11" s="31"/>
      <c r="L11" s="32"/>
      <c r="M11" s="33"/>
      <c r="N11" s="30"/>
      <c r="O11" s="30"/>
      <c r="P11" s="31"/>
      <c r="Q11" s="31"/>
      <c r="R11" s="31"/>
      <c r="S11" s="32"/>
      <c r="T11" s="33"/>
      <c r="U11" s="31"/>
      <c r="V11" s="31"/>
      <c r="W11" s="31"/>
      <c r="X11" s="31"/>
      <c r="Y11" s="31"/>
      <c r="Z11" s="32"/>
      <c r="AA11" s="33"/>
      <c r="AB11" s="31"/>
      <c r="AC11" s="31"/>
      <c r="AD11" s="31"/>
      <c r="AE11" s="31"/>
      <c r="AF11" s="31"/>
      <c r="AG11" s="32"/>
      <c r="AH11" s="33"/>
      <c r="AI11" s="31"/>
      <c r="AJ11" s="31"/>
      <c r="AK11" s="31"/>
      <c r="AL11" s="31"/>
      <c r="AM11" s="31"/>
      <c r="AN11" s="32"/>
      <c r="AO11" s="33"/>
      <c r="AP11" s="31"/>
      <c r="AQ11" s="31"/>
      <c r="AR11" s="31"/>
      <c r="AS11" s="31"/>
      <c r="AT11" s="31"/>
      <c r="AU11" s="32"/>
      <c r="AV11" s="33"/>
      <c r="AW11" s="31"/>
      <c r="AX11" s="31"/>
      <c r="AY11" s="31"/>
      <c r="AZ11" s="31"/>
      <c r="BA11" s="31"/>
      <c r="BB11" s="32"/>
      <c r="BC11" s="33"/>
      <c r="BD11" s="31"/>
      <c r="BE11" s="31"/>
      <c r="BF11" s="31"/>
      <c r="BG11" s="31"/>
      <c r="BH11" s="31"/>
      <c r="BI11" s="31"/>
      <c r="BJ11" s="31"/>
      <c r="BK11" s="31"/>
      <c r="BL11" s="31"/>
      <c r="BM11" s="31"/>
      <c r="BN11" s="31"/>
    </row>
    <row r="12" spans="1:66" ht="15" customHeight="1" thickBot="1">
      <c r="A12" s="44" t="s">
        <v>80</v>
      </c>
      <c r="B12" s="58" t="s">
        <v>81</v>
      </c>
      <c r="C12" s="59" t="str">
        <f t="shared" ca="1" si="1"/>
        <v>100%</v>
      </c>
      <c r="D12" s="60">
        <f t="shared" si="0"/>
        <v>1</v>
      </c>
      <c r="E12" s="61">
        <v>45959</v>
      </c>
      <c r="F12" s="61">
        <v>45959</v>
      </c>
      <c r="G12" s="62" t="s">
        <v>100</v>
      </c>
      <c r="H12" s="31"/>
      <c r="I12" s="31"/>
      <c r="J12" s="31"/>
      <c r="K12" s="31"/>
      <c r="L12" s="32"/>
      <c r="M12" s="33"/>
      <c r="N12" s="31"/>
      <c r="O12" s="31"/>
      <c r="P12" s="38"/>
      <c r="Q12" s="31"/>
      <c r="R12" s="31"/>
      <c r="S12" s="32"/>
      <c r="T12" s="33"/>
      <c r="U12" s="31"/>
      <c r="V12" s="31"/>
      <c r="W12" s="31"/>
      <c r="X12" s="31"/>
      <c r="Y12" s="31"/>
      <c r="Z12" s="32"/>
      <c r="AA12" s="33"/>
      <c r="AB12" s="31"/>
      <c r="AC12" s="31"/>
      <c r="AD12" s="31"/>
      <c r="AE12" s="31"/>
      <c r="AF12" s="31"/>
      <c r="AG12" s="32"/>
      <c r="AH12" s="33"/>
      <c r="AI12" s="31"/>
      <c r="AJ12" s="31"/>
      <c r="AK12" s="31"/>
      <c r="AL12" s="31"/>
      <c r="AM12" s="31"/>
      <c r="AN12" s="32"/>
      <c r="AO12" s="33"/>
      <c r="AP12" s="31"/>
      <c r="AQ12" s="31"/>
      <c r="AR12" s="31"/>
      <c r="AS12" s="31"/>
      <c r="AT12" s="31"/>
      <c r="AU12" s="32"/>
      <c r="AV12" s="33"/>
      <c r="AW12" s="31"/>
      <c r="AX12" s="31"/>
      <c r="AY12" s="31"/>
      <c r="AZ12" s="31"/>
      <c r="BA12" s="31"/>
      <c r="BB12" s="32"/>
      <c r="BC12" s="33"/>
      <c r="BD12" s="31"/>
      <c r="BE12" s="31"/>
      <c r="BF12" s="31"/>
      <c r="BG12" s="31"/>
      <c r="BH12" s="31"/>
      <c r="BI12" s="31"/>
      <c r="BJ12" s="31"/>
      <c r="BK12" s="31"/>
      <c r="BL12" s="31"/>
      <c r="BM12" s="31"/>
      <c r="BN12" s="31"/>
    </row>
    <row r="13" spans="1:66" ht="15" customHeight="1" thickBot="1">
      <c r="A13" s="45"/>
      <c r="B13" s="25" t="s">
        <v>82</v>
      </c>
      <c r="C13" s="26" t="str">
        <f t="shared" ca="1" si="1"/>
        <v>100%</v>
      </c>
      <c r="D13" s="27">
        <f t="shared" si="0"/>
        <v>1</v>
      </c>
      <c r="E13" s="28">
        <v>45959</v>
      </c>
      <c r="F13" s="28">
        <v>45959</v>
      </c>
      <c r="G13" s="62" t="s">
        <v>100</v>
      </c>
      <c r="H13" s="31"/>
      <c r="I13" s="31"/>
      <c r="J13" s="31"/>
      <c r="K13" s="31"/>
      <c r="L13" s="32"/>
      <c r="M13" s="33"/>
      <c r="N13" s="31"/>
      <c r="O13" s="31"/>
      <c r="P13" s="30"/>
      <c r="Q13" s="31"/>
      <c r="R13" s="31"/>
      <c r="S13" s="32"/>
      <c r="T13" s="33"/>
      <c r="U13" s="31"/>
      <c r="V13" s="31"/>
      <c r="W13" s="31"/>
      <c r="X13" s="31"/>
      <c r="Y13" s="31"/>
      <c r="Z13" s="32"/>
      <c r="AA13" s="33"/>
      <c r="AB13" s="31"/>
      <c r="AC13" s="31"/>
      <c r="AD13" s="31"/>
      <c r="AE13" s="31"/>
      <c r="AF13" s="31"/>
      <c r="AG13" s="32"/>
      <c r="AH13" s="33"/>
      <c r="AI13" s="31"/>
      <c r="AJ13" s="31"/>
      <c r="AK13" s="31"/>
      <c r="AL13" s="31"/>
      <c r="AM13" s="31"/>
      <c r="AN13" s="32"/>
      <c r="AO13" s="33"/>
      <c r="AP13" s="31"/>
      <c r="AQ13" s="31"/>
      <c r="AR13" s="31"/>
      <c r="AS13" s="31"/>
      <c r="AT13" s="31"/>
      <c r="AU13" s="32"/>
      <c r="AV13" s="33"/>
      <c r="AW13" s="31"/>
      <c r="AX13" s="31"/>
      <c r="AY13" s="31"/>
      <c r="AZ13" s="31"/>
      <c r="BA13" s="31"/>
      <c r="BB13" s="32"/>
      <c r="BC13" s="33"/>
      <c r="BD13" s="31"/>
      <c r="BE13" s="31"/>
      <c r="BF13" s="31"/>
      <c r="BG13" s="31"/>
      <c r="BH13" s="31"/>
      <c r="BI13" s="31"/>
      <c r="BJ13" s="31"/>
      <c r="BK13" s="31"/>
      <c r="BL13" s="31"/>
      <c r="BM13" s="31"/>
      <c r="BN13" s="31"/>
    </row>
    <row r="14" spans="1:66" ht="15" customHeight="1" thickBot="1">
      <c r="A14" s="45"/>
      <c r="B14" s="25" t="s">
        <v>83</v>
      </c>
      <c r="C14" s="26" t="str">
        <f t="shared" ca="1" si="1"/>
        <v>100%</v>
      </c>
      <c r="D14" s="27">
        <f t="shared" si="0"/>
        <v>1</v>
      </c>
      <c r="E14" s="28">
        <v>45959</v>
      </c>
      <c r="F14" s="28">
        <v>45959</v>
      </c>
      <c r="G14" s="62" t="s">
        <v>100</v>
      </c>
      <c r="H14" s="31"/>
      <c r="I14" s="31"/>
      <c r="J14" s="31"/>
      <c r="K14" s="31"/>
      <c r="L14" s="32"/>
      <c r="M14" s="33"/>
      <c r="N14" s="31"/>
      <c r="O14" s="31"/>
      <c r="P14" s="30"/>
      <c r="Q14" s="31"/>
      <c r="R14" s="31"/>
      <c r="S14" s="32"/>
      <c r="T14" s="33"/>
      <c r="U14" s="31"/>
      <c r="V14" s="31"/>
      <c r="W14" s="31"/>
      <c r="X14" s="31"/>
      <c r="Y14" s="31"/>
      <c r="Z14" s="32"/>
      <c r="AA14" s="33"/>
      <c r="AB14" s="31"/>
      <c r="AC14" s="31"/>
      <c r="AD14" s="31"/>
      <c r="AE14" s="31"/>
      <c r="AF14" s="31"/>
      <c r="AG14" s="32"/>
      <c r="AH14" s="33"/>
      <c r="AI14" s="31"/>
      <c r="AJ14" s="31"/>
      <c r="AK14" s="31"/>
      <c r="AL14" s="31"/>
      <c r="AM14" s="31"/>
      <c r="AN14" s="32"/>
      <c r="AO14" s="33"/>
      <c r="AP14" s="31"/>
      <c r="AQ14" s="31"/>
      <c r="AR14" s="31"/>
      <c r="AS14" s="31"/>
      <c r="AT14" s="31"/>
      <c r="AU14" s="32"/>
      <c r="AV14" s="33"/>
      <c r="AW14" s="31"/>
      <c r="AX14" s="31"/>
      <c r="AY14" s="31"/>
      <c r="AZ14" s="31"/>
      <c r="BA14" s="31"/>
      <c r="BB14" s="32"/>
      <c r="BC14" s="33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</row>
    <row r="15" spans="1:66" ht="15" customHeight="1" thickBot="1">
      <c r="A15" s="45"/>
      <c r="B15" s="58" t="s">
        <v>84</v>
      </c>
      <c r="C15" s="59" t="str">
        <f t="shared" ca="1" si="1"/>
        <v>11.8%</v>
      </c>
      <c r="D15" s="60">
        <f t="shared" si="0"/>
        <v>18</v>
      </c>
      <c r="E15" s="61">
        <v>45964</v>
      </c>
      <c r="F15" s="61">
        <v>45981</v>
      </c>
      <c r="G15" s="62" t="s">
        <v>100</v>
      </c>
      <c r="H15" s="31"/>
      <c r="I15" s="31"/>
      <c r="J15" s="31"/>
      <c r="K15" s="31"/>
      <c r="L15" s="32"/>
      <c r="M15" s="33"/>
      <c r="N15" s="31"/>
      <c r="O15" s="31"/>
      <c r="P15" s="31"/>
      <c r="Q15" s="31"/>
      <c r="R15" s="31"/>
      <c r="S15" s="32"/>
      <c r="T15" s="33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  <c r="AL15" s="38"/>
      <c r="AM15" s="31"/>
      <c r="AN15" s="32"/>
      <c r="AO15" s="33"/>
      <c r="AP15" s="31"/>
      <c r="AQ15" s="31"/>
      <c r="AR15" s="31"/>
      <c r="AS15" s="31"/>
      <c r="AT15" s="31"/>
      <c r="AU15" s="32"/>
      <c r="AV15" s="33"/>
      <c r="AW15" s="31"/>
      <c r="AX15" s="31"/>
      <c r="AY15" s="31"/>
      <c r="AZ15" s="31"/>
      <c r="BA15" s="31"/>
      <c r="BB15" s="32"/>
      <c r="BC15" s="33"/>
      <c r="BD15" s="31"/>
      <c r="BE15" s="31"/>
      <c r="BF15" s="31"/>
      <c r="BG15" s="31"/>
      <c r="BH15" s="31"/>
      <c r="BI15" s="31"/>
      <c r="BJ15" s="31"/>
      <c r="BK15" s="31"/>
      <c r="BL15" s="31"/>
      <c r="BM15" s="31"/>
      <c r="BN15" s="31"/>
    </row>
    <row r="16" spans="1:66" ht="15" customHeight="1" thickBot="1">
      <c r="A16" s="45"/>
      <c r="B16" s="41" t="s">
        <v>122</v>
      </c>
      <c r="C16" s="26" t="str">
        <f t="shared" ca="1" si="1"/>
        <v>0%</v>
      </c>
      <c r="D16" s="27">
        <f t="shared" si="0"/>
        <v>1</v>
      </c>
      <c r="E16" s="28">
        <v>45966</v>
      </c>
      <c r="F16" s="28">
        <v>45966</v>
      </c>
      <c r="G16" s="29" t="s">
        <v>101</v>
      </c>
      <c r="H16" s="31"/>
      <c r="I16" s="31"/>
      <c r="J16" s="31"/>
      <c r="K16" s="31"/>
      <c r="L16" s="32"/>
      <c r="M16" s="33"/>
      <c r="N16" s="31"/>
      <c r="O16" s="31"/>
      <c r="P16" s="31"/>
      <c r="Q16" s="31"/>
      <c r="R16" s="31"/>
      <c r="S16" s="32"/>
      <c r="T16" s="33"/>
      <c r="U16" s="31"/>
      <c r="V16" s="31"/>
      <c r="W16" s="30"/>
      <c r="X16" s="31"/>
      <c r="Y16" s="31"/>
      <c r="Z16" s="32"/>
      <c r="AA16" s="33"/>
      <c r="AB16" s="31"/>
      <c r="AC16" s="31"/>
      <c r="AD16" s="31"/>
      <c r="AE16" s="31"/>
      <c r="AF16" s="31"/>
      <c r="AG16" s="32"/>
      <c r="AH16" s="33"/>
      <c r="AI16" s="31"/>
      <c r="AJ16" s="31"/>
      <c r="AK16" s="31"/>
      <c r="AL16" s="31"/>
      <c r="AM16" s="31"/>
      <c r="AN16" s="32"/>
      <c r="AO16" s="33"/>
      <c r="AP16" s="31"/>
      <c r="AQ16" s="31"/>
      <c r="AR16" s="31"/>
      <c r="AS16" s="31"/>
      <c r="AT16" s="31"/>
      <c r="AU16" s="32"/>
      <c r="AV16" s="33"/>
      <c r="AW16" s="31"/>
      <c r="AX16" s="31"/>
      <c r="AY16" s="31"/>
      <c r="AZ16" s="31"/>
      <c r="BA16" s="31"/>
      <c r="BB16" s="32"/>
      <c r="BC16" s="33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</row>
    <row r="17" spans="1:66" ht="15" customHeight="1" thickBot="1">
      <c r="A17" s="45"/>
      <c r="B17" s="65" t="s">
        <v>131</v>
      </c>
      <c r="C17" s="66"/>
      <c r="D17" s="66"/>
      <c r="E17" s="66"/>
      <c r="F17" s="66"/>
      <c r="G17" s="67"/>
      <c r="H17" s="31"/>
      <c r="I17" s="31"/>
      <c r="J17" s="31"/>
      <c r="K17" s="31"/>
      <c r="L17" s="32"/>
      <c r="M17" s="33"/>
      <c r="N17" s="31"/>
      <c r="O17" s="31"/>
      <c r="P17" s="31"/>
      <c r="Q17" s="31"/>
      <c r="R17" s="31"/>
      <c r="S17" s="32"/>
      <c r="T17" s="33"/>
      <c r="U17" s="31"/>
      <c r="V17" s="31"/>
      <c r="W17" s="30"/>
      <c r="X17" s="31"/>
      <c r="Y17" s="31"/>
      <c r="Z17" s="32"/>
      <c r="AA17" s="33"/>
      <c r="AB17" s="31"/>
      <c r="AC17" s="31"/>
      <c r="AD17" s="31"/>
      <c r="AE17" s="31"/>
      <c r="AF17" s="31"/>
      <c r="AG17" s="32"/>
      <c r="AH17" s="33"/>
      <c r="AI17" s="31"/>
      <c r="AJ17" s="31"/>
      <c r="AK17" s="31"/>
      <c r="AL17" s="31"/>
      <c r="AM17" s="31"/>
      <c r="AN17" s="32"/>
      <c r="AO17" s="33"/>
      <c r="AP17" s="31"/>
      <c r="AQ17" s="31"/>
      <c r="AR17" s="31"/>
      <c r="AS17" s="31"/>
      <c r="AT17" s="31"/>
      <c r="AU17" s="32"/>
      <c r="AV17" s="33"/>
      <c r="AW17" s="31"/>
      <c r="AX17" s="31"/>
      <c r="AY17" s="31"/>
      <c r="AZ17" s="31"/>
      <c r="BA17" s="31"/>
      <c r="BB17" s="32"/>
      <c r="BC17" s="33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</row>
    <row r="18" spans="1:66" ht="15" customHeight="1" thickBot="1">
      <c r="A18" s="45"/>
      <c r="B18" s="43" t="s">
        <v>111</v>
      </c>
      <c r="C18" s="26" t="str">
        <f ca="1">IF(F18=E18, IF(TODAY()&gt;F18, "100%", "0%"), ROUND(MAX(0, MIN(TODAY(), F18) - E18) / (F18 - E18) * 100, 1) &amp; "%")</f>
        <v>100%</v>
      </c>
      <c r="D18" s="27">
        <f>IF(AND(F18&lt;&gt;"", E18&lt;&gt;""), F18-E18+1, "")</f>
        <v>2</v>
      </c>
      <c r="E18" s="28">
        <v>45964</v>
      </c>
      <c r="F18" s="28">
        <v>45965</v>
      </c>
      <c r="G18" s="64" t="s">
        <v>110</v>
      </c>
      <c r="H18" s="31"/>
      <c r="I18" s="31"/>
      <c r="J18" s="31"/>
      <c r="K18" s="31"/>
      <c r="L18" s="32"/>
      <c r="M18" s="33"/>
      <c r="N18" s="31"/>
      <c r="O18" s="31"/>
      <c r="P18" s="31"/>
      <c r="Q18" s="31"/>
      <c r="R18" s="31"/>
      <c r="S18" s="32"/>
      <c r="T18" s="33"/>
      <c r="U18" s="30"/>
      <c r="V18" s="30"/>
      <c r="W18" s="30"/>
      <c r="X18" s="30"/>
      <c r="Y18" s="30"/>
      <c r="Z18" s="30"/>
      <c r="AA18" s="30"/>
      <c r="AB18" s="31"/>
      <c r="AC18" s="31"/>
      <c r="AD18" s="31"/>
      <c r="AE18" s="31"/>
      <c r="AF18" s="31"/>
      <c r="AG18" s="32"/>
      <c r="AH18" s="33"/>
      <c r="AI18" s="31"/>
      <c r="AJ18" s="31"/>
      <c r="AK18" s="31"/>
      <c r="AL18" s="31"/>
      <c r="AM18" s="31"/>
      <c r="AN18" s="32"/>
      <c r="AO18" s="33"/>
      <c r="AP18" s="31"/>
      <c r="AQ18" s="31"/>
      <c r="AR18" s="31"/>
      <c r="AS18" s="31"/>
      <c r="AT18" s="31"/>
      <c r="AU18" s="32"/>
      <c r="AV18" s="33"/>
      <c r="AW18" s="31"/>
      <c r="AX18" s="31"/>
      <c r="AY18" s="31"/>
      <c r="AZ18" s="31"/>
      <c r="BA18" s="31"/>
      <c r="BB18" s="32"/>
      <c r="BC18" s="33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</row>
    <row r="19" spans="1:66" ht="15" customHeight="1" thickBot="1">
      <c r="A19" s="45"/>
      <c r="B19" s="37" t="s">
        <v>88</v>
      </c>
      <c r="C19" s="26" t="str">
        <f ca="1">IF(F19=E19, IF(TODAY()&gt;F19, "100%", "0%"), ROUND(MAX(0, MIN(TODAY(), F19) - E19) / (F19 - E19) * 100, 1) &amp; "%")</f>
        <v>50%</v>
      </c>
      <c r="D19" s="27">
        <f>IF(AND(F19&lt;&gt;"", E19&lt;&gt;""), F19-E19+1, "")</f>
        <v>3</v>
      </c>
      <c r="E19" s="28">
        <v>45965</v>
      </c>
      <c r="F19" s="28">
        <v>45967</v>
      </c>
      <c r="G19" s="64" t="s">
        <v>107</v>
      </c>
      <c r="H19" s="31"/>
      <c r="I19" s="31"/>
      <c r="J19" s="31"/>
      <c r="K19" s="31"/>
      <c r="L19" s="32"/>
      <c r="M19" s="33"/>
      <c r="N19" s="31"/>
      <c r="O19" s="31"/>
      <c r="P19" s="31"/>
      <c r="Q19" s="31"/>
      <c r="R19" s="31"/>
      <c r="S19" s="32"/>
      <c r="T19" s="33"/>
      <c r="U19" s="30"/>
      <c r="V19" s="30"/>
      <c r="W19" s="30"/>
      <c r="X19" s="30"/>
      <c r="Y19" s="31"/>
      <c r="Z19" s="32"/>
      <c r="AA19" s="33"/>
      <c r="AB19" s="31"/>
      <c r="AC19" s="31"/>
      <c r="AD19" s="31"/>
      <c r="AE19" s="31"/>
      <c r="AF19" s="31"/>
      <c r="AG19" s="32"/>
      <c r="AH19" s="33"/>
      <c r="AI19" s="31"/>
      <c r="AJ19" s="31"/>
      <c r="AK19" s="31"/>
      <c r="AL19" s="31"/>
      <c r="AM19" s="31"/>
      <c r="AN19" s="32"/>
      <c r="AO19" s="33"/>
      <c r="AP19" s="31"/>
      <c r="AQ19" s="31"/>
      <c r="AR19" s="31"/>
      <c r="AS19" s="31"/>
      <c r="AT19" s="31"/>
      <c r="AU19" s="32"/>
      <c r="AV19" s="33"/>
      <c r="AW19" s="31"/>
      <c r="AX19" s="31"/>
      <c r="AY19" s="31"/>
      <c r="AZ19" s="31"/>
      <c r="BA19" s="31"/>
      <c r="BB19" s="32"/>
      <c r="BC19" s="33"/>
      <c r="BD19" s="31"/>
      <c r="BE19" s="31"/>
      <c r="BF19" s="31"/>
      <c r="BG19" s="31"/>
      <c r="BH19" s="31"/>
      <c r="BI19" s="31"/>
      <c r="BJ19" s="31"/>
      <c r="BK19" s="31"/>
      <c r="BL19" s="31"/>
      <c r="BM19" s="31"/>
      <c r="BN19" s="31"/>
    </row>
    <row r="20" spans="1:66" ht="15" customHeight="1" thickBot="1">
      <c r="A20" s="45"/>
      <c r="B20" s="40" t="s">
        <v>123</v>
      </c>
      <c r="C20" s="26" t="str">
        <f ca="1">IF(F20=E20, IF(TODAY()&gt;F20, "100%", "0%"), ROUND(MAX(0, MIN(TODAY(), F20) - E20) / (F20 - E20) * 100, 1) &amp; "%")</f>
        <v>0%</v>
      </c>
      <c r="D20" s="27">
        <f t="shared" si="0"/>
        <v>2</v>
      </c>
      <c r="E20" s="28">
        <v>45966</v>
      </c>
      <c r="F20" s="28">
        <v>45967</v>
      </c>
      <c r="G20" s="29" t="s">
        <v>109</v>
      </c>
      <c r="H20" s="31"/>
      <c r="I20" s="31"/>
      <c r="J20" s="31"/>
      <c r="K20" s="31"/>
      <c r="L20" s="32"/>
      <c r="M20" s="33"/>
      <c r="N20" s="31"/>
      <c r="O20" s="31"/>
      <c r="P20" s="31"/>
      <c r="Q20" s="31"/>
      <c r="R20" s="31"/>
      <c r="S20" s="32"/>
      <c r="T20" s="33"/>
      <c r="U20" s="31"/>
      <c r="V20" s="31"/>
      <c r="W20" s="30"/>
      <c r="X20" s="31"/>
      <c r="Y20" s="31"/>
      <c r="Z20" s="32"/>
      <c r="AA20" s="33"/>
      <c r="AB20" s="31"/>
      <c r="AC20" s="31"/>
      <c r="AD20" s="31"/>
      <c r="AE20" s="31"/>
      <c r="AF20" s="31"/>
      <c r="AG20" s="32"/>
      <c r="AH20" s="33"/>
      <c r="AI20" s="31"/>
      <c r="AJ20" s="31"/>
      <c r="AK20" s="31"/>
      <c r="AL20" s="31"/>
      <c r="AM20" s="31"/>
      <c r="AN20" s="32"/>
      <c r="AO20" s="33"/>
      <c r="AP20" s="31"/>
      <c r="AQ20" s="31"/>
      <c r="AR20" s="31"/>
      <c r="AS20" s="31"/>
      <c r="AT20" s="31"/>
      <c r="AU20" s="32"/>
      <c r="AV20" s="33"/>
      <c r="AW20" s="31"/>
      <c r="AX20" s="31"/>
      <c r="AY20" s="31"/>
      <c r="AZ20" s="31"/>
      <c r="BA20" s="31"/>
      <c r="BB20" s="32"/>
      <c r="BC20" s="33"/>
      <c r="BD20" s="31"/>
      <c r="BE20" s="31"/>
      <c r="BF20" s="31"/>
      <c r="BG20" s="31"/>
      <c r="BH20" s="31"/>
      <c r="BI20" s="31"/>
      <c r="BJ20" s="31"/>
      <c r="BK20" s="31"/>
      <c r="BL20" s="31"/>
      <c r="BM20" s="31"/>
      <c r="BN20" s="31"/>
    </row>
    <row r="21" spans="1:66" ht="15" customHeight="1" thickBot="1">
      <c r="A21" s="45"/>
      <c r="B21" s="68" t="s">
        <v>127</v>
      </c>
      <c r="C21" s="69"/>
      <c r="D21" s="69"/>
      <c r="E21" s="69"/>
      <c r="F21" s="69"/>
      <c r="G21" s="70"/>
      <c r="H21" s="31"/>
      <c r="I21" s="31"/>
      <c r="J21" s="31"/>
      <c r="K21" s="31"/>
      <c r="L21" s="32"/>
      <c r="M21" s="33"/>
      <c r="N21" s="31"/>
      <c r="O21" s="31"/>
      <c r="P21" s="31"/>
      <c r="Q21" s="31"/>
      <c r="R21" s="31"/>
      <c r="S21" s="32"/>
      <c r="T21" s="33"/>
      <c r="U21" s="31"/>
      <c r="V21" s="31"/>
      <c r="W21" s="30"/>
      <c r="X21" s="30"/>
      <c r="Y21" s="30"/>
      <c r="Z21" s="30"/>
      <c r="AA21" s="30"/>
      <c r="AB21" s="30"/>
      <c r="AC21" s="31"/>
      <c r="AD21" s="31"/>
      <c r="AE21" s="31"/>
      <c r="AF21" s="31"/>
      <c r="AG21" s="32"/>
      <c r="AH21" s="33"/>
      <c r="AI21" s="31"/>
      <c r="AJ21" s="31"/>
      <c r="AK21" s="31"/>
      <c r="AL21" s="31"/>
      <c r="AM21" s="31"/>
      <c r="AN21" s="32"/>
      <c r="AO21" s="33"/>
      <c r="AP21" s="31"/>
      <c r="AQ21" s="31"/>
      <c r="AR21" s="31"/>
      <c r="AS21" s="31"/>
      <c r="AT21" s="31"/>
      <c r="AU21" s="32"/>
      <c r="AV21" s="33"/>
      <c r="AW21" s="31"/>
      <c r="AX21" s="31"/>
      <c r="AY21" s="31"/>
      <c r="AZ21" s="31"/>
      <c r="BA21" s="31"/>
      <c r="BB21" s="32"/>
      <c r="BC21" s="33"/>
      <c r="BD21" s="31"/>
      <c r="BE21" s="31"/>
      <c r="BF21" s="31"/>
      <c r="BG21" s="31"/>
      <c r="BH21" s="31"/>
      <c r="BI21" s="31"/>
      <c r="BJ21" s="31"/>
      <c r="BK21" s="31"/>
      <c r="BL21" s="31"/>
      <c r="BM21" s="31"/>
      <c r="BN21" s="31"/>
    </row>
    <row r="22" spans="1:66" ht="15" customHeight="1" thickBot="1">
      <c r="A22" s="45"/>
      <c r="B22" s="41" t="s">
        <v>124</v>
      </c>
      <c r="C22" s="26" t="str">
        <f t="shared" ref="C22:C27" ca="1" si="2">IF(F22=E22, IF(TODAY()&gt;F22, "100%", "0%"), ROUND(MAX(0, MIN(TODAY(), F22) - E22) / (F22 - E22) * 100, 1) &amp; "%")</f>
        <v>0%</v>
      </c>
      <c r="D22" s="27">
        <f>IF(AND(F22&lt;&gt;"", E22&lt;&gt;""), F22-E22+1, "")</f>
        <v>2</v>
      </c>
      <c r="E22" s="28">
        <v>45968</v>
      </c>
      <c r="F22" s="28">
        <v>45969</v>
      </c>
      <c r="G22" s="29" t="s">
        <v>129</v>
      </c>
      <c r="H22" s="31"/>
      <c r="I22" s="31"/>
      <c r="J22" s="31"/>
      <c r="K22" s="31"/>
      <c r="L22" s="32"/>
      <c r="M22" s="33"/>
      <c r="N22" s="31"/>
      <c r="O22" s="31"/>
      <c r="P22" s="31"/>
      <c r="Q22" s="31"/>
      <c r="R22" s="31"/>
      <c r="S22" s="32"/>
      <c r="T22" s="33"/>
      <c r="U22" s="31"/>
      <c r="V22" s="31"/>
      <c r="W22" s="30"/>
      <c r="X22" s="30"/>
      <c r="Y22" s="30"/>
      <c r="Z22" s="30"/>
      <c r="AA22" s="30"/>
      <c r="AB22" s="30"/>
      <c r="AC22" s="31"/>
      <c r="AD22" s="31"/>
      <c r="AE22" s="31"/>
      <c r="AF22" s="31"/>
      <c r="AG22" s="32"/>
      <c r="AH22" s="33"/>
      <c r="AI22" s="31"/>
      <c r="AJ22" s="31"/>
      <c r="AK22" s="31"/>
      <c r="AL22" s="31"/>
      <c r="AM22" s="31"/>
      <c r="AN22" s="32"/>
      <c r="AO22" s="33"/>
      <c r="AP22" s="31"/>
      <c r="AQ22" s="31"/>
      <c r="AR22" s="31"/>
      <c r="AS22" s="31"/>
      <c r="AT22" s="31"/>
      <c r="AU22" s="32"/>
      <c r="AV22" s="33"/>
      <c r="AW22" s="31"/>
      <c r="AX22" s="31"/>
      <c r="AY22" s="31"/>
      <c r="AZ22" s="31"/>
      <c r="BA22" s="31"/>
      <c r="BB22" s="32"/>
      <c r="BC22" s="33"/>
      <c r="BD22" s="31"/>
      <c r="BE22" s="31"/>
      <c r="BF22" s="31"/>
      <c r="BG22" s="31"/>
      <c r="BH22" s="31"/>
      <c r="BI22" s="31"/>
      <c r="BJ22" s="31"/>
      <c r="BK22" s="31"/>
      <c r="BL22" s="31"/>
      <c r="BM22" s="31"/>
      <c r="BN22" s="31"/>
    </row>
    <row r="23" spans="1:66" ht="15" customHeight="1" thickBot="1">
      <c r="A23" s="45"/>
      <c r="B23" s="39" t="s">
        <v>86</v>
      </c>
      <c r="C23" s="26" t="str">
        <f t="shared" ca="1" si="2"/>
        <v>20%</v>
      </c>
      <c r="D23" s="27">
        <f>IF(AND(F23&lt;&gt;"", E23&lt;&gt;""), F23-E23+1, "")</f>
        <v>6</v>
      </c>
      <c r="E23" s="28">
        <v>45965</v>
      </c>
      <c r="F23" s="28">
        <v>45970</v>
      </c>
      <c r="G23" s="64" t="s">
        <v>104</v>
      </c>
      <c r="H23" s="31"/>
      <c r="I23" s="31"/>
      <c r="J23" s="31"/>
      <c r="K23" s="31"/>
      <c r="L23" s="32"/>
      <c r="M23" s="33"/>
      <c r="N23" s="31"/>
      <c r="O23" s="31"/>
      <c r="P23" s="31"/>
      <c r="Q23" s="31"/>
      <c r="R23" s="31"/>
      <c r="S23" s="32"/>
      <c r="T23" s="33"/>
      <c r="U23" s="30"/>
      <c r="V23" s="31"/>
      <c r="W23" s="31"/>
      <c r="X23" s="31"/>
      <c r="Y23" s="31"/>
      <c r="Z23" s="32"/>
      <c r="AA23" s="33"/>
      <c r="AB23" s="31"/>
      <c r="AC23" s="31"/>
      <c r="AD23" s="31"/>
      <c r="AE23" s="31"/>
      <c r="AF23" s="31"/>
      <c r="AG23" s="32"/>
      <c r="AH23" s="33"/>
      <c r="AI23" s="31"/>
      <c r="AJ23" s="31"/>
      <c r="AK23" s="31"/>
      <c r="AL23" s="31"/>
      <c r="AM23" s="31"/>
      <c r="AN23" s="32"/>
      <c r="AO23" s="33"/>
      <c r="AP23" s="31"/>
      <c r="AQ23" s="31"/>
      <c r="AR23" s="31"/>
      <c r="AS23" s="31"/>
      <c r="AT23" s="31"/>
      <c r="AU23" s="32"/>
      <c r="AV23" s="33"/>
      <c r="AW23" s="31"/>
      <c r="AX23" s="31"/>
      <c r="AY23" s="31"/>
      <c r="AZ23" s="31"/>
      <c r="BA23" s="31"/>
      <c r="BB23" s="32"/>
      <c r="BC23" s="33"/>
      <c r="BD23" s="31"/>
      <c r="BE23" s="31"/>
      <c r="BF23" s="31"/>
      <c r="BG23" s="31"/>
      <c r="BH23" s="31"/>
      <c r="BI23" s="31"/>
      <c r="BJ23" s="31"/>
      <c r="BK23" s="31"/>
      <c r="BL23" s="31"/>
      <c r="BM23" s="31"/>
      <c r="BN23" s="31"/>
    </row>
    <row r="24" spans="1:66" ht="15" customHeight="1" thickBot="1">
      <c r="A24" s="45"/>
      <c r="B24" s="37" t="s">
        <v>106</v>
      </c>
      <c r="C24" s="26" t="str">
        <f t="shared" ca="1" si="2"/>
        <v>16.7%</v>
      </c>
      <c r="D24" s="27">
        <f>IF(AND(F24&lt;&gt;"", E24&lt;&gt;""), F24-E24+1, "")</f>
        <v>7</v>
      </c>
      <c r="E24" s="28">
        <v>45965</v>
      </c>
      <c r="F24" s="28">
        <v>45971</v>
      </c>
      <c r="G24" s="64" t="s">
        <v>105</v>
      </c>
      <c r="H24" s="31"/>
      <c r="I24" s="31"/>
      <c r="J24" s="31"/>
      <c r="K24" s="31"/>
      <c r="L24" s="32"/>
      <c r="M24" s="33"/>
      <c r="N24" s="31"/>
      <c r="O24" s="31"/>
      <c r="P24" s="31"/>
      <c r="Q24" s="31"/>
      <c r="R24" s="31"/>
      <c r="S24" s="32"/>
      <c r="T24" s="33"/>
      <c r="U24" s="30"/>
      <c r="V24" s="30"/>
      <c r="W24" s="30"/>
      <c r="X24" s="30"/>
      <c r="Y24" s="30"/>
      <c r="Z24" s="30"/>
      <c r="AA24" s="30"/>
      <c r="AB24" s="30"/>
      <c r="AC24" s="31"/>
      <c r="AD24" s="31"/>
      <c r="AE24" s="31"/>
      <c r="AF24" s="31"/>
      <c r="AG24" s="32"/>
      <c r="AH24" s="33"/>
      <c r="AI24" s="31"/>
      <c r="AJ24" s="31"/>
      <c r="AK24" s="31"/>
      <c r="AL24" s="31"/>
      <c r="AM24" s="31"/>
      <c r="AN24" s="32"/>
      <c r="AO24" s="33"/>
      <c r="AP24" s="31"/>
      <c r="AQ24" s="31"/>
      <c r="AR24" s="31"/>
      <c r="AS24" s="31"/>
      <c r="AT24" s="31"/>
      <c r="AU24" s="32"/>
      <c r="AV24" s="33"/>
      <c r="AW24" s="31"/>
      <c r="AX24" s="31"/>
      <c r="AY24" s="31"/>
      <c r="AZ24" s="31"/>
      <c r="BA24" s="31"/>
      <c r="BB24" s="32"/>
      <c r="BC24" s="33"/>
      <c r="BD24" s="31"/>
      <c r="BE24" s="31"/>
      <c r="BF24" s="31"/>
      <c r="BG24" s="31"/>
      <c r="BH24" s="31"/>
      <c r="BI24" s="31"/>
      <c r="BJ24" s="31"/>
      <c r="BK24" s="31"/>
      <c r="BL24" s="31"/>
      <c r="BM24" s="31"/>
      <c r="BN24" s="31"/>
    </row>
    <row r="25" spans="1:66" ht="15" customHeight="1" thickBot="1">
      <c r="A25" s="45"/>
      <c r="B25" s="40" t="s">
        <v>119</v>
      </c>
      <c r="C25" s="26" t="str">
        <f t="shared" ca="1" si="2"/>
        <v>0%</v>
      </c>
      <c r="D25" s="27">
        <f t="shared" si="0"/>
        <v>2</v>
      </c>
      <c r="E25" s="28">
        <v>45968</v>
      </c>
      <c r="F25" s="28">
        <v>45969</v>
      </c>
      <c r="G25" s="29" t="s">
        <v>130</v>
      </c>
      <c r="H25" s="31"/>
      <c r="I25" s="31"/>
      <c r="J25" s="31"/>
      <c r="K25" s="31"/>
      <c r="L25" s="32"/>
      <c r="M25" s="33"/>
      <c r="N25" s="31"/>
      <c r="O25" s="31"/>
      <c r="P25" s="31"/>
      <c r="Q25" s="31"/>
      <c r="R25" s="31"/>
      <c r="S25" s="32"/>
      <c r="T25" s="33"/>
      <c r="U25" s="31"/>
      <c r="V25" s="31"/>
      <c r="W25" s="30"/>
      <c r="X25" s="30"/>
      <c r="Y25" s="30"/>
      <c r="Z25" s="30"/>
      <c r="AA25" s="30"/>
      <c r="AB25" s="30"/>
      <c r="AC25" s="31"/>
      <c r="AD25" s="31"/>
      <c r="AE25" s="31"/>
      <c r="AF25" s="31"/>
      <c r="AG25" s="32"/>
      <c r="AH25" s="33"/>
      <c r="AI25" s="31"/>
      <c r="AJ25" s="31"/>
      <c r="AK25" s="31"/>
      <c r="AL25" s="31"/>
      <c r="AM25" s="31"/>
      <c r="AN25" s="32"/>
      <c r="AO25" s="33"/>
      <c r="AP25" s="31"/>
      <c r="AQ25" s="31"/>
      <c r="AR25" s="31"/>
      <c r="AS25" s="31"/>
      <c r="AT25" s="31"/>
      <c r="AU25" s="32"/>
      <c r="AV25" s="33"/>
      <c r="AW25" s="31"/>
      <c r="AX25" s="31"/>
      <c r="AY25" s="31"/>
      <c r="AZ25" s="31"/>
      <c r="BA25" s="31"/>
      <c r="BB25" s="32"/>
      <c r="BC25" s="33"/>
      <c r="BD25" s="31"/>
      <c r="BE25" s="31"/>
      <c r="BF25" s="31"/>
      <c r="BG25" s="31"/>
      <c r="BH25" s="31"/>
      <c r="BI25" s="31"/>
      <c r="BJ25" s="31"/>
      <c r="BK25" s="31"/>
      <c r="BL25" s="31"/>
      <c r="BM25" s="31"/>
      <c r="BN25" s="31"/>
    </row>
    <row r="26" spans="1:66" ht="15" customHeight="1" thickBot="1">
      <c r="A26" s="45"/>
      <c r="B26" s="40" t="s">
        <v>120</v>
      </c>
      <c r="C26" s="26" t="str">
        <f t="shared" ca="1" si="2"/>
        <v>0%</v>
      </c>
      <c r="D26" s="27">
        <f t="shared" ref="D26:D27" si="3">IF(AND(F26&lt;&gt;"", E26&lt;&gt;""), F26-E26+1, "")</f>
        <v>2</v>
      </c>
      <c r="E26" s="28">
        <v>45968</v>
      </c>
      <c r="F26" s="28">
        <v>45969</v>
      </c>
      <c r="G26" s="29" t="s">
        <v>130</v>
      </c>
      <c r="H26" s="31"/>
      <c r="I26" s="31"/>
      <c r="J26" s="31"/>
      <c r="K26" s="31"/>
      <c r="L26" s="32"/>
      <c r="M26" s="33"/>
      <c r="N26" s="31"/>
      <c r="O26" s="31"/>
      <c r="P26" s="31"/>
      <c r="Q26" s="31"/>
      <c r="R26" s="31"/>
      <c r="S26" s="32"/>
      <c r="T26" s="33"/>
      <c r="U26" s="31"/>
      <c r="V26" s="31"/>
      <c r="W26" s="30"/>
      <c r="X26" s="30"/>
      <c r="Y26" s="30"/>
      <c r="Z26" s="30"/>
      <c r="AA26" s="30"/>
      <c r="AB26" s="30"/>
      <c r="AC26" s="31"/>
      <c r="AD26" s="31"/>
      <c r="AE26" s="31"/>
      <c r="AF26" s="31"/>
      <c r="AG26" s="32"/>
      <c r="AH26" s="33"/>
      <c r="AI26" s="31"/>
      <c r="AJ26" s="31"/>
      <c r="AK26" s="31"/>
      <c r="AL26" s="31"/>
      <c r="AM26" s="31"/>
      <c r="AN26" s="32"/>
      <c r="AO26" s="33"/>
      <c r="AP26" s="31"/>
      <c r="AQ26" s="31"/>
      <c r="AR26" s="31"/>
      <c r="AS26" s="31"/>
      <c r="AT26" s="31"/>
      <c r="AU26" s="32"/>
      <c r="AV26" s="33"/>
      <c r="AW26" s="31"/>
      <c r="AX26" s="31"/>
      <c r="AY26" s="31"/>
      <c r="AZ26" s="31"/>
      <c r="BA26" s="31"/>
      <c r="BB26" s="32"/>
      <c r="BC26" s="33"/>
      <c r="BD26" s="31"/>
      <c r="BE26" s="31"/>
      <c r="BF26" s="31"/>
      <c r="BG26" s="31"/>
      <c r="BH26" s="31"/>
      <c r="BI26" s="31"/>
      <c r="BJ26" s="31"/>
      <c r="BK26" s="31"/>
      <c r="BL26" s="31"/>
      <c r="BM26" s="31"/>
      <c r="BN26" s="31"/>
    </row>
    <row r="27" spans="1:66" ht="15" customHeight="1" thickBot="1">
      <c r="A27" s="45"/>
      <c r="B27" s="40" t="s">
        <v>121</v>
      </c>
      <c r="C27" s="26" t="str">
        <f t="shared" ca="1" si="2"/>
        <v>0%</v>
      </c>
      <c r="D27" s="27">
        <f t="shared" si="3"/>
        <v>2</v>
      </c>
      <c r="E27" s="28">
        <v>45968</v>
      </c>
      <c r="F27" s="28">
        <v>45969</v>
      </c>
      <c r="G27" s="29" t="s">
        <v>130</v>
      </c>
      <c r="H27" s="31"/>
      <c r="I27" s="31"/>
      <c r="J27" s="31"/>
      <c r="K27" s="31"/>
      <c r="L27" s="32"/>
      <c r="M27" s="33"/>
      <c r="N27" s="31"/>
      <c r="O27" s="31"/>
      <c r="P27" s="31"/>
      <c r="Q27" s="31"/>
      <c r="R27" s="31"/>
      <c r="S27" s="32"/>
      <c r="T27" s="33"/>
      <c r="U27" s="31"/>
      <c r="V27" s="31"/>
      <c r="W27" s="30"/>
      <c r="X27" s="30"/>
      <c r="Y27" s="30"/>
      <c r="Z27" s="30"/>
      <c r="AA27" s="30"/>
      <c r="AB27" s="30"/>
      <c r="AC27" s="31"/>
      <c r="AD27" s="31"/>
      <c r="AE27" s="31"/>
      <c r="AF27" s="31"/>
      <c r="AG27" s="32"/>
      <c r="AH27" s="33"/>
      <c r="AI27" s="31"/>
      <c r="AJ27" s="31"/>
      <c r="AK27" s="31"/>
      <c r="AL27" s="31"/>
      <c r="AM27" s="31"/>
      <c r="AN27" s="32"/>
      <c r="AO27" s="33"/>
      <c r="AP27" s="31"/>
      <c r="AQ27" s="31"/>
      <c r="AR27" s="31"/>
      <c r="AS27" s="31"/>
      <c r="AT27" s="31"/>
      <c r="AU27" s="32"/>
      <c r="AV27" s="33"/>
      <c r="AW27" s="31"/>
      <c r="AX27" s="31"/>
      <c r="AY27" s="31"/>
      <c r="AZ27" s="31"/>
      <c r="BA27" s="31"/>
      <c r="BB27" s="32"/>
      <c r="BC27" s="33"/>
      <c r="BD27" s="31"/>
      <c r="BE27" s="31"/>
      <c r="BF27" s="31"/>
      <c r="BG27" s="31"/>
      <c r="BH27" s="31"/>
      <c r="BI27" s="31"/>
      <c r="BJ27" s="31"/>
      <c r="BK27" s="31"/>
      <c r="BL27" s="31"/>
      <c r="BM27" s="31"/>
      <c r="BN27" s="31"/>
    </row>
    <row r="28" spans="1:66" ht="15" customHeight="1" thickBot="1">
      <c r="A28" s="45"/>
      <c r="B28" s="71" t="s">
        <v>126</v>
      </c>
      <c r="C28" s="72"/>
      <c r="D28" s="72"/>
      <c r="E28" s="72"/>
      <c r="F28" s="72"/>
      <c r="G28" s="73"/>
      <c r="H28" s="31"/>
      <c r="I28" s="31"/>
      <c r="J28" s="31"/>
      <c r="K28" s="31"/>
      <c r="L28" s="32"/>
      <c r="M28" s="33"/>
      <c r="N28" s="31"/>
      <c r="O28" s="31"/>
      <c r="P28" s="31"/>
      <c r="Q28" s="31"/>
      <c r="R28" s="31"/>
      <c r="S28" s="32"/>
      <c r="T28" s="33"/>
      <c r="U28" s="31"/>
      <c r="V28" s="31"/>
      <c r="W28" s="30"/>
      <c r="X28" s="30"/>
      <c r="Y28" s="30"/>
      <c r="Z28" s="30"/>
      <c r="AA28" s="30"/>
      <c r="AB28" s="30"/>
      <c r="AC28" s="31"/>
      <c r="AD28" s="31"/>
      <c r="AE28" s="31"/>
      <c r="AF28" s="31"/>
      <c r="AG28" s="32"/>
      <c r="AH28" s="33"/>
      <c r="AI28" s="31"/>
      <c r="AJ28" s="31"/>
      <c r="AK28" s="31"/>
      <c r="AL28" s="31"/>
      <c r="AM28" s="31"/>
      <c r="AN28" s="32"/>
      <c r="AO28" s="33"/>
      <c r="AP28" s="31"/>
      <c r="AQ28" s="31"/>
      <c r="AR28" s="31"/>
      <c r="AS28" s="31"/>
      <c r="AT28" s="31"/>
      <c r="AU28" s="32"/>
      <c r="AV28" s="33"/>
      <c r="AW28" s="31"/>
      <c r="AX28" s="31"/>
      <c r="AY28" s="31"/>
      <c r="AZ28" s="31"/>
      <c r="BA28" s="31"/>
      <c r="BB28" s="32"/>
      <c r="BC28" s="33"/>
      <c r="BD28" s="31"/>
      <c r="BE28" s="31"/>
      <c r="BF28" s="31"/>
      <c r="BG28" s="31"/>
      <c r="BH28" s="31"/>
      <c r="BI28" s="31"/>
      <c r="BJ28" s="31"/>
      <c r="BK28" s="31"/>
      <c r="BL28" s="31"/>
      <c r="BM28" s="31"/>
      <c r="BN28" s="31"/>
    </row>
    <row r="29" spans="1:66" ht="15" customHeight="1" thickBot="1">
      <c r="A29" s="45"/>
      <c r="B29" s="40" t="s">
        <v>118</v>
      </c>
      <c r="C29" s="26" t="str">
        <f ca="1">IF(F29=E29, IF(TODAY()&gt;F29, "100%", "0%"), ROUND(MAX(0, MIN(TODAY(), F29) - E29) / (F29 - E29) * 100, 1) &amp; "%")</f>
        <v>0%</v>
      </c>
      <c r="D29" s="27">
        <f t="shared" si="0"/>
        <v>6</v>
      </c>
      <c r="E29" s="28">
        <v>45972</v>
      </c>
      <c r="F29" s="28">
        <v>45977</v>
      </c>
      <c r="G29" s="29" t="s">
        <v>132</v>
      </c>
      <c r="H29" s="31"/>
      <c r="I29" s="31"/>
      <c r="J29" s="31"/>
      <c r="K29" s="31"/>
      <c r="L29" s="32"/>
      <c r="M29" s="33"/>
      <c r="N29" s="31"/>
      <c r="O29" s="31"/>
      <c r="P29" s="31"/>
      <c r="Q29" s="31"/>
      <c r="R29" s="31"/>
      <c r="S29" s="32"/>
      <c r="T29" s="33"/>
      <c r="U29" s="31"/>
      <c r="V29" s="31"/>
      <c r="W29" s="31"/>
      <c r="X29" s="31"/>
      <c r="Y29" s="31"/>
      <c r="Z29" s="32"/>
      <c r="AA29" s="33"/>
      <c r="AB29" s="31"/>
      <c r="AC29" s="31"/>
      <c r="AD29" s="30"/>
      <c r="AE29" s="30"/>
      <c r="AF29" s="30"/>
      <c r="AG29" s="30"/>
      <c r="AH29" s="30"/>
      <c r="AI29" s="31"/>
      <c r="AJ29" s="31"/>
      <c r="AK29" s="31"/>
      <c r="AL29" s="31"/>
      <c r="AM29" s="31"/>
      <c r="AN29" s="32"/>
      <c r="AO29" s="33"/>
      <c r="AP29" s="31"/>
      <c r="AQ29" s="31"/>
      <c r="AR29" s="31"/>
      <c r="AS29" s="31"/>
      <c r="AT29" s="31"/>
      <c r="AU29" s="32"/>
      <c r="AV29" s="33"/>
      <c r="AW29" s="31"/>
      <c r="AX29" s="31"/>
      <c r="AY29" s="31"/>
      <c r="AZ29" s="31"/>
      <c r="BA29" s="31"/>
      <c r="BB29" s="32"/>
      <c r="BC29" s="33"/>
      <c r="BD29" s="31"/>
      <c r="BE29" s="31"/>
      <c r="BF29" s="31"/>
      <c r="BG29" s="31"/>
      <c r="BH29" s="31"/>
      <c r="BI29" s="31"/>
      <c r="BJ29" s="31"/>
      <c r="BK29" s="31"/>
      <c r="BL29" s="31"/>
      <c r="BM29" s="31"/>
      <c r="BN29" s="31"/>
    </row>
    <row r="30" spans="1:66" ht="15" customHeight="1" thickBot="1">
      <c r="A30" s="45"/>
      <c r="B30" s="41" t="s">
        <v>125</v>
      </c>
      <c r="C30" s="26" t="str">
        <f ca="1">IF(F30=E30, IF(TODAY()&gt;F30, "100%", "0%"), ROUND(MAX(0, MIN(TODAY(), F30) - E30) / (F30 - E30) * 100, 1) &amp; "%")</f>
        <v>0%</v>
      </c>
      <c r="D30" s="27">
        <f t="shared" ref="D30" si="4">IF(AND(F30&lt;&gt;"", E30&lt;&gt;""), F30-E30+1, "")</f>
        <v>6</v>
      </c>
      <c r="E30" s="28">
        <v>45972</v>
      </c>
      <c r="F30" s="28">
        <v>45977</v>
      </c>
      <c r="G30" s="29" t="s">
        <v>132</v>
      </c>
      <c r="H30" s="31"/>
      <c r="I30" s="31"/>
      <c r="J30" s="31"/>
      <c r="K30" s="31"/>
      <c r="L30" s="32"/>
      <c r="M30" s="33"/>
      <c r="N30" s="31"/>
      <c r="O30" s="31"/>
      <c r="P30" s="31"/>
      <c r="Q30" s="31"/>
      <c r="R30" s="31"/>
      <c r="S30" s="32"/>
      <c r="T30" s="33"/>
      <c r="U30" s="31"/>
      <c r="V30" s="31"/>
      <c r="W30" s="31"/>
      <c r="X30" s="31"/>
      <c r="Y30" s="31"/>
      <c r="Z30" s="32"/>
      <c r="AA30" s="33"/>
      <c r="AB30" s="31"/>
      <c r="AC30" s="31"/>
      <c r="AD30" s="30"/>
      <c r="AE30" s="30"/>
      <c r="AF30" s="30"/>
      <c r="AG30" s="30"/>
      <c r="AH30" s="30"/>
      <c r="AI30" s="31"/>
      <c r="AJ30" s="31"/>
      <c r="AK30" s="31"/>
      <c r="AL30" s="31"/>
      <c r="AM30" s="31"/>
      <c r="AN30" s="32"/>
      <c r="AO30" s="33"/>
      <c r="AP30" s="31"/>
      <c r="AQ30" s="31"/>
      <c r="AR30" s="31"/>
      <c r="AS30" s="31"/>
      <c r="AT30" s="31"/>
      <c r="AU30" s="32"/>
      <c r="AV30" s="33"/>
      <c r="AW30" s="31"/>
      <c r="AX30" s="31"/>
      <c r="AY30" s="31"/>
      <c r="AZ30" s="31"/>
      <c r="BA30" s="31"/>
      <c r="BB30" s="32"/>
      <c r="BC30" s="33"/>
      <c r="BD30" s="31"/>
      <c r="BE30" s="31"/>
      <c r="BF30" s="31"/>
      <c r="BG30" s="31"/>
      <c r="BH30" s="31"/>
      <c r="BI30" s="31"/>
      <c r="BJ30" s="31"/>
      <c r="BK30" s="31"/>
      <c r="BL30" s="31"/>
      <c r="BM30" s="31"/>
      <c r="BN30" s="31"/>
    </row>
    <row r="31" spans="1:66" ht="15" customHeight="1" thickBot="1">
      <c r="A31" s="45"/>
      <c r="B31" s="37" t="s">
        <v>89</v>
      </c>
      <c r="C31" s="26" t="str">
        <f ca="1">IF(F31=E31, IF(TODAY()&gt;F31, "100%", "0%"), ROUND(MAX(0, MIN(TODAY(), F31) - E31) / (F31 - E31) * 100, 1) &amp; "%")</f>
        <v>0%</v>
      </c>
      <c r="D31" s="27">
        <f>IF(AND(F31&lt;&gt;"", E31&lt;&gt;""), F31-E31+1, "")</f>
        <v>4</v>
      </c>
      <c r="E31" s="28">
        <v>45968</v>
      </c>
      <c r="F31" s="28">
        <v>45971</v>
      </c>
      <c r="G31" s="64" t="s">
        <v>107</v>
      </c>
      <c r="H31" s="31"/>
      <c r="I31" s="31"/>
      <c r="J31" s="31"/>
      <c r="K31" s="31"/>
      <c r="L31" s="32"/>
      <c r="M31" s="33"/>
      <c r="N31" s="31"/>
      <c r="O31" s="31"/>
      <c r="P31" s="31"/>
      <c r="Q31" s="31"/>
      <c r="R31" s="31"/>
      <c r="S31" s="32"/>
      <c r="T31" s="33"/>
      <c r="U31" s="31"/>
      <c r="V31" s="31"/>
      <c r="W31" s="31"/>
      <c r="X31" s="31"/>
      <c r="Y31" s="30"/>
      <c r="Z31" s="30"/>
      <c r="AA31" s="30"/>
      <c r="AB31" s="30"/>
      <c r="AC31" s="31"/>
      <c r="AD31" s="31"/>
      <c r="AE31" s="31"/>
      <c r="AF31" s="31"/>
      <c r="AG31" s="32"/>
      <c r="AH31" s="33"/>
      <c r="AI31" s="31"/>
      <c r="AJ31" s="31"/>
      <c r="AK31" s="31"/>
      <c r="AL31" s="31"/>
      <c r="AM31" s="31"/>
      <c r="AN31" s="32"/>
      <c r="AO31" s="33"/>
      <c r="AP31" s="31"/>
      <c r="AQ31" s="31"/>
      <c r="AR31" s="31"/>
      <c r="AS31" s="31"/>
      <c r="AT31" s="31"/>
      <c r="AU31" s="32"/>
      <c r="AV31" s="33"/>
      <c r="AW31" s="31"/>
      <c r="AX31" s="31"/>
      <c r="AY31" s="31"/>
      <c r="AZ31" s="31"/>
      <c r="BA31" s="31"/>
      <c r="BB31" s="32"/>
      <c r="BC31" s="33"/>
      <c r="BD31" s="31"/>
      <c r="BE31" s="31"/>
      <c r="BF31" s="31"/>
      <c r="BG31" s="31"/>
      <c r="BH31" s="31"/>
      <c r="BI31" s="31"/>
      <c r="BJ31" s="31"/>
      <c r="BK31" s="31"/>
      <c r="BL31" s="31"/>
      <c r="BM31" s="31"/>
      <c r="BN31" s="31"/>
    </row>
    <row r="32" spans="1:66" ht="15" customHeight="1" thickBot="1">
      <c r="A32" s="45"/>
      <c r="B32" s="37" t="s">
        <v>85</v>
      </c>
      <c r="C32" s="26" t="str">
        <f ca="1">IF(F32=E32, IF(TODAY()&gt;F32, "100%", "0%"), ROUND(MAX(0, MIN(TODAY(), F32) - E32) / (F32 - E32) * 100, 1) &amp; "%")</f>
        <v>0%</v>
      </c>
      <c r="D32" s="27">
        <f>IF(AND(F32&lt;&gt;"", E32&lt;&gt;""), F32-E32+1, "")</f>
        <v>10</v>
      </c>
      <c r="E32" s="28">
        <v>45972</v>
      </c>
      <c r="F32" s="28">
        <v>45981</v>
      </c>
      <c r="G32" s="64" t="s">
        <v>107</v>
      </c>
      <c r="H32" s="31"/>
      <c r="I32" s="31"/>
      <c r="J32" s="31"/>
      <c r="K32" s="31"/>
      <c r="L32" s="32"/>
      <c r="M32" s="33"/>
      <c r="N32" s="31"/>
      <c r="O32" s="31"/>
      <c r="P32" s="31"/>
      <c r="Q32" s="31"/>
      <c r="R32" s="31"/>
      <c r="S32" s="32"/>
      <c r="T32" s="33"/>
      <c r="U32" s="31"/>
      <c r="V32" s="31"/>
      <c r="W32" s="31"/>
      <c r="X32" s="31"/>
      <c r="Y32" s="31"/>
      <c r="Z32" s="32"/>
      <c r="AA32" s="33"/>
      <c r="AB32" s="31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1"/>
      <c r="AN32" s="32"/>
      <c r="AO32" s="33"/>
      <c r="AP32" s="31"/>
      <c r="AQ32" s="31"/>
      <c r="AR32" s="31"/>
      <c r="AS32" s="31"/>
      <c r="AT32" s="31"/>
      <c r="AU32" s="32"/>
      <c r="AV32" s="33"/>
      <c r="AW32" s="31"/>
      <c r="AX32" s="31"/>
      <c r="AY32" s="31"/>
      <c r="AZ32" s="31"/>
      <c r="BA32" s="31"/>
      <c r="BB32" s="32"/>
      <c r="BC32" s="33"/>
      <c r="BD32" s="31"/>
      <c r="BE32" s="31"/>
      <c r="BF32" s="31"/>
      <c r="BG32" s="31"/>
      <c r="BH32" s="31"/>
      <c r="BI32" s="31"/>
      <c r="BJ32" s="31"/>
      <c r="BK32" s="31"/>
      <c r="BL32" s="31"/>
      <c r="BM32" s="31"/>
      <c r="BN32" s="31"/>
    </row>
    <row r="33" spans="1:66" ht="15" customHeight="1" thickBot="1">
      <c r="A33" s="45"/>
      <c r="B33" s="71" t="s">
        <v>116</v>
      </c>
      <c r="C33" s="72"/>
      <c r="D33" s="72"/>
      <c r="E33" s="72"/>
      <c r="F33" s="72"/>
      <c r="G33" s="73"/>
      <c r="H33" s="31"/>
      <c r="I33" s="31"/>
      <c r="J33" s="31"/>
      <c r="K33" s="31"/>
      <c r="L33" s="32"/>
      <c r="M33" s="33"/>
      <c r="N33" s="31"/>
      <c r="O33" s="31"/>
      <c r="P33" s="31"/>
      <c r="Q33" s="31"/>
      <c r="R33" s="31"/>
      <c r="S33" s="32"/>
      <c r="T33" s="33"/>
      <c r="U33" s="31"/>
      <c r="V33" s="31"/>
      <c r="W33" s="31"/>
      <c r="X33" s="31"/>
      <c r="Y33" s="31"/>
      <c r="Z33" s="32"/>
      <c r="AA33" s="33"/>
      <c r="AB33" s="31"/>
      <c r="AC33" s="31"/>
      <c r="AD33" s="30"/>
      <c r="AE33" s="30"/>
      <c r="AF33" s="30"/>
      <c r="AG33" s="30"/>
      <c r="AH33" s="30"/>
      <c r="AI33" s="31"/>
      <c r="AJ33" s="31"/>
      <c r="AK33" s="31"/>
      <c r="AL33" s="31"/>
      <c r="AM33" s="31"/>
      <c r="AN33" s="32"/>
      <c r="AO33" s="33"/>
      <c r="AP33" s="31"/>
      <c r="AQ33" s="31"/>
      <c r="AR33" s="31"/>
      <c r="AS33" s="31"/>
      <c r="AT33" s="31"/>
      <c r="AU33" s="32"/>
      <c r="AV33" s="33"/>
      <c r="AW33" s="31"/>
      <c r="AX33" s="31"/>
      <c r="AY33" s="31"/>
      <c r="AZ33" s="31"/>
      <c r="BA33" s="31"/>
      <c r="BB33" s="32"/>
      <c r="BC33" s="33"/>
      <c r="BD33" s="31"/>
      <c r="BE33" s="31"/>
      <c r="BF33" s="31"/>
      <c r="BG33" s="31"/>
      <c r="BH33" s="31"/>
      <c r="BI33" s="31"/>
      <c r="BJ33" s="31"/>
      <c r="BK33" s="31"/>
      <c r="BL33" s="31"/>
      <c r="BM33" s="31"/>
      <c r="BN33" s="31"/>
    </row>
    <row r="34" spans="1:66" ht="15" customHeight="1" thickBot="1">
      <c r="A34" s="45"/>
      <c r="B34" s="41" t="s">
        <v>117</v>
      </c>
      <c r="C34" s="26" t="str">
        <f t="shared" ref="C34:C49" ca="1" si="5">IF(F34=E34, IF(TODAY()&gt;F34, "100%", "0%"), ROUND(MAX(0, MIN(TODAY(), F34) - E34) / (F34 - E34) * 100, 1) &amp; "%")</f>
        <v>0%</v>
      </c>
      <c r="D34" s="27">
        <f t="shared" si="0"/>
        <v>6</v>
      </c>
      <c r="E34" s="28">
        <v>45972</v>
      </c>
      <c r="F34" s="28">
        <v>45977</v>
      </c>
      <c r="G34" s="29" t="s">
        <v>103</v>
      </c>
      <c r="H34" s="31"/>
      <c r="I34" s="31"/>
      <c r="J34" s="31"/>
      <c r="K34" s="31"/>
      <c r="L34" s="32"/>
      <c r="M34" s="33"/>
      <c r="N34" s="31"/>
      <c r="O34" s="31"/>
      <c r="P34" s="31"/>
      <c r="Q34" s="31"/>
      <c r="R34" s="31"/>
      <c r="S34" s="32"/>
      <c r="T34" s="33"/>
      <c r="U34" s="31"/>
      <c r="V34" s="31"/>
      <c r="W34" s="31"/>
      <c r="X34" s="31"/>
      <c r="Y34" s="31"/>
      <c r="Z34" s="32"/>
      <c r="AA34" s="33"/>
      <c r="AB34" s="31"/>
      <c r="AC34" s="31"/>
      <c r="AD34" s="30"/>
      <c r="AE34" s="30"/>
      <c r="AF34" s="30"/>
      <c r="AG34" s="30"/>
      <c r="AH34" s="30"/>
      <c r="AI34" s="31"/>
      <c r="AJ34" s="31"/>
      <c r="AK34" s="31"/>
      <c r="AL34" s="31"/>
      <c r="AM34" s="31"/>
      <c r="AN34" s="32"/>
      <c r="AO34" s="33"/>
      <c r="AP34" s="31"/>
      <c r="AQ34" s="31"/>
      <c r="AR34" s="31"/>
      <c r="AS34" s="31"/>
      <c r="AT34" s="31"/>
      <c r="AU34" s="32"/>
      <c r="AV34" s="33"/>
      <c r="AW34" s="31"/>
      <c r="AX34" s="31"/>
      <c r="AY34" s="31"/>
      <c r="AZ34" s="31"/>
      <c r="BA34" s="31"/>
      <c r="BB34" s="32"/>
      <c r="BC34" s="33"/>
      <c r="BD34" s="31"/>
      <c r="BE34" s="31"/>
      <c r="BF34" s="31"/>
      <c r="BG34" s="31"/>
      <c r="BH34" s="31"/>
      <c r="BI34" s="31"/>
      <c r="BJ34" s="31"/>
      <c r="BK34" s="31"/>
      <c r="BL34" s="31"/>
      <c r="BM34" s="31"/>
      <c r="BN34" s="31"/>
    </row>
    <row r="35" spans="1:66" ht="15" customHeight="1" thickBot="1">
      <c r="A35" s="45"/>
      <c r="B35" s="37" t="s">
        <v>87</v>
      </c>
      <c r="C35" s="26" t="str">
        <f t="shared" ca="1" si="5"/>
        <v>16.7%</v>
      </c>
      <c r="D35" s="27">
        <f t="shared" si="0"/>
        <v>7</v>
      </c>
      <c r="E35" s="28">
        <v>45965</v>
      </c>
      <c r="F35" s="28">
        <v>45971</v>
      </c>
      <c r="G35" s="64" t="s">
        <v>105</v>
      </c>
      <c r="H35" s="31"/>
      <c r="I35" s="31"/>
      <c r="J35" s="31"/>
      <c r="K35" s="31"/>
      <c r="L35" s="32"/>
      <c r="M35" s="33"/>
      <c r="N35" s="31"/>
      <c r="O35" s="31"/>
      <c r="P35" s="31"/>
      <c r="Q35" s="31"/>
      <c r="R35" s="31"/>
      <c r="S35" s="32"/>
      <c r="T35" s="33"/>
      <c r="U35" s="30"/>
      <c r="V35" s="30"/>
      <c r="W35" s="30"/>
      <c r="X35" s="30"/>
      <c r="Y35" s="30"/>
      <c r="Z35" s="30"/>
      <c r="AA35" s="30"/>
      <c r="AB35" s="30"/>
      <c r="AC35" s="31"/>
      <c r="AD35" s="31"/>
      <c r="AE35" s="31"/>
      <c r="AF35" s="31"/>
      <c r="AG35" s="32"/>
      <c r="AH35" s="33"/>
      <c r="AI35" s="31"/>
      <c r="AJ35" s="31"/>
      <c r="AK35" s="31"/>
      <c r="AL35" s="31"/>
      <c r="AM35" s="31"/>
      <c r="AN35" s="32"/>
      <c r="AO35" s="33"/>
      <c r="AP35" s="31"/>
      <c r="AQ35" s="31"/>
      <c r="AR35" s="31"/>
      <c r="AS35" s="31"/>
      <c r="AT35" s="31"/>
      <c r="AU35" s="32"/>
      <c r="AV35" s="33"/>
      <c r="AW35" s="31"/>
      <c r="AX35" s="31"/>
      <c r="AY35" s="31"/>
      <c r="AZ35" s="31"/>
      <c r="BA35" s="31"/>
      <c r="BB35" s="32"/>
      <c r="BC35" s="33"/>
      <c r="BD35" s="31"/>
      <c r="BE35" s="31"/>
      <c r="BF35" s="31"/>
      <c r="BG35" s="31"/>
      <c r="BH35" s="31"/>
      <c r="BI35" s="31"/>
      <c r="BJ35" s="31"/>
      <c r="BK35" s="31"/>
      <c r="BL35" s="31"/>
      <c r="BM35" s="31"/>
      <c r="BN35" s="31"/>
    </row>
    <row r="36" spans="1:66" ht="15.75" thickBot="1">
      <c r="A36" s="45"/>
      <c r="B36" s="58" t="s">
        <v>108</v>
      </c>
      <c r="C36" s="59" t="str">
        <f t="shared" ca="1" si="5"/>
        <v>5.9%</v>
      </c>
      <c r="D36" s="60">
        <f t="shared" si="0"/>
        <v>35</v>
      </c>
      <c r="E36" s="61">
        <v>45964</v>
      </c>
      <c r="F36" s="61">
        <v>45998</v>
      </c>
      <c r="G36" s="62" t="s">
        <v>100</v>
      </c>
      <c r="H36" s="31"/>
      <c r="I36" s="31"/>
      <c r="J36" s="31"/>
      <c r="K36" s="31"/>
      <c r="L36" s="32"/>
      <c r="M36" s="33"/>
      <c r="N36" s="31"/>
      <c r="O36" s="31"/>
      <c r="P36" s="31"/>
      <c r="Q36" s="31"/>
      <c r="R36" s="31"/>
      <c r="S36" s="32"/>
      <c r="T36" s="33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38"/>
      <c r="AX36" s="38"/>
      <c r="AY36" s="38"/>
      <c r="AZ36" s="38"/>
      <c r="BA36" s="38"/>
      <c r="BB36" s="38"/>
      <c r="BC36" s="38"/>
      <c r="BD36" s="31"/>
      <c r="BE36" s="31"/>
      <c r="BF36" s="31"/>
      <c r="BG36" s="31"/>
      <c r="BH36" s="31"/>
      <c r="BI36" s="31"/>
      <c r="BJ36" s="31"/>
      <c r="BK36" s="31"/>
      <c r="BL36" s="31"/>
      <c r="BM36" s="31"/>
      <c r="BN36" s="31"/>
    </row>
    <row r="37" spans="1:66" ht="15.75" thickBot="1">
      <c r="A37" s="45"/>
      <c r="B37" s="41" t="s">
        <v>128</v>
      </c>
      <c r="C37" s="26" t="str">
        <f t="shared" ca="1" si="5"/>
        <v>0%</v>
      </c>
      <c r="D37" s="27">
        <f t="shared" si="0"/>
        <v>14</v>
      </c>
      <c r="E37" s="28">
        <v>45978</v>
      </c>
      <c r="F37" s="28">
        <v>45991</v>
      </c>
      <c r="G37" s="29" t="s">
        <v>109</v>
      </c>
      <c r="H37" s="31"/>
      <c r="I37" s="31"/>
      <c r="J37" s="31"/>
      <c r="K37" s="31"/>
      <c r="L37" s="32"/>
      <c r="M37" s="33"/>
      <c r="N37" s="31"/>
      <c r="O37" s="31"/>
      <c r="P37" s="31"/>
      <c r="Q37" s="31"/>
      <c r="R37" s="31"/>
      <c r="S37" s="32"/>
      <c r="T37" s="33"/>
      <c r="U37" s="31"/>
      <c r="V37" s="31"/>
      <c r="W37" s="31"/>
      <c r="X37" s="31"/>
      <c r="Y37" s="31"/>
      <c r="Z37" s="32"/>
      <c r="AA37" s="33"/>
      <c r="AB37" s="31"/>
      <c r="AC37" s="31"/>
      <c r="AD37" s="31"/>
      <c r="AE37" s="31"/>
      <c r="AF37" s="31"/>
      <c r="AG37" s="32"/>
      <c r="AH37" s="33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1"/>
      <c r="AX37" s="31"/>
      <c r="AY37" s="31"/>
      <c r="AZ37" s="31"/>
      <c r="BA37" s="31"/>
      <c r="BB37" s="32"/>
      <c r="BC37" s="33"/>
      <c r="BD37" s="31"/>
      <c r="BE37" s="31"/>
      <c r="BF37" s="31"/>
      <c r="BG37" s="31"/>
      <c r="BH37" s="31"/>
      <c r="BI37" s="31"/>
      <c r="BJ37" s="31"/>
      <c r="BK37" s="31"/>
      <c r="BL37" s="31"/>
      <c r="BM37" s="31"/>
      <c r="BN37" s="31"/>
    </row>
    <row r="38" spans="1:66" ht="15" customHeight="1" thickBot="1">
      <c r="A38" s="45"/>
      <c r="B38" s="41" t="s">
        <v>115</v>
      </c>
      <c r="C38" s="26" t="str">
        <f t="shared" ca="1" si="5"/>
        <v>0%</v>
      </c>
      <c r="D38" s="27">
        <f t="shared" si="0"/>
        <v>14</v>
      </c>
      <c r="E38" s="28">
        <v>45978</v>
      </c>
      <c r="F38" s="28">
        <v>45991</v>
      </c>
      <c r="G38" s="29" t="s">
        <v>101</v>
      </c>
      <c r="H38" s="31"/>
      <c r="I38" s="31"/>
      <c r="J38" s="31"/>
      <c r="K38" s="31"/>
      <c r="L38" s="32"/>
      <c r="M38" s="33"/>
      <c r="N38" s="31"/>
      <c r="O38" s="31"/>
      <c r="P38" s="31"/>
      <c r="Q38" s="31"/>
      <c r="R38" s="31"/>
      <c r="S38" s="32"/>
      <c r="T38" s="33"/>
      <c r="U38" s="31"/>
      <c r="V38" s="31"/>
      <c r="W38" s="31"/>
      <c r="X38" s="31"/>
      <c r="Y38" s="31"/>
      <c r="Z38" s="32"/>
      <c r="AA38" s="33"/>
      <c r="AB38" s="31"/>
      <c r="AC38" s="31"/>
      <c r="AD38" s="31"/>
      <c r="AE38" s="31"/>
      <c r="AF38" s="31"/>
      <c r="AG38" s="32"/>
      <c r="AH38" s="33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1"/>
      <c r="AX38" s="31"/>
      <c r="AY38" s="31"/>
      <c r="AZ38" s="31"/>
      <c r="BA38" s="31"/>
      <c r="BB38" s="32"/>
      <c r="BC38" s="33"/>
      <c r="BD38" s="31"/>
      <c r="BE38" s="31"/>
      <c r="BF38" s="31"/>
      <c r="BG38" s="31"/>
      <c r="BH38" s="31"/>
      <c r="BI38" s="31"/>
      <c r="BJ38" s="31"/>
      <c r="BK38" s="31"/>
      <c r="BL38" s="31"/>
      <c r="BM38" s="31"/>
      <c r="BN38" s="31"/>
    </row>
    <row r="39" spans="1:66" ht="15" customHeight="1" thickBot="1">
      <c r="A39" s="45"/>
      <c r="B39" s="42" t="s">
        <v>114</v>
      </c>
      <c r="C39" s="26" t="str">
        <f t="shared" ca="1" si="5"/>
        <v>0%</v>
      </c>
      <c r="D39" s="27">
        <f t="shared" si="0"/>
        <v>14</v>
      </c>
      <c r="E39" s="28">
        <v>45978</v>
      </c>
      <c r="F39" s="28">
        <v>45991</v>
      </c>
      <c r="G39" s="29" t="s">
        <v>101</v>
      </c>
      <c r="H39" s="31"/>
      <c r="I39" s="31"/>
      <c r="J39" s="31"/>
      <c r="K39" s="31"/>
      <c r="L39" s="32"/>
      <c r="M39" s="33"/>
      <c r="N39" s="31"/>
      <c r="O39" s="31"/>
      <c r="P39" s="31"/>
      <c r="Q39" s="31"/>
      <c r="R39" s="31"/>
      <c r="S39" s="32"/>
      <c r="T39" s="33"/>
      <c r="U39" s="31"/>
      <c r="V39" s="31"/>
      <c r="W39" s="31"/>
      <c r="X39" s="31"/>
      <c r="Y39" s="31"/>
      <c r="Z39" s="32"/>
      <c r="AA39" s="33"/>
      <c r="AB39" s="31"/>
      <c r="AC39" s="31"/>
      <c r="AD39" s="31"/>
      <c r="AE39" s="31"/>
      <c r="AF39" s="31"/>
      <c r="AG39" s="32"/>
      <c r="AH39" s="33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1"/>
      <c r="AX39" s="31"/>
      <c r="AY39" s="31"/>
      <c r="AZ39" s="31"/>
      <c r="BA39" s="31"/>
      <c r="BB39" s="32"/>
      <c r="BC39" s="33"/>
      <c r="BD39" s="31"/>
      <c r="BE39" s="31"/>
      <c r="BF39" s="31"/>
      <c r="BG39" s="31"/>
      <c r="BH39" s="31"/>
      <c r="BI39" s="31"/>
      <c r="BJ39" s="31"/>
      <c r="BK39" s="31"/>
      <c r="BL39" s="31"/>
      <c r="BM39" s="31"/>
      <c r="BN39" s="31"/>
    </row>
    <row r="40" spans="1:66" ht="15" customHeight="1" thickBot="1">
      <c r="A40" s="45"/>
      <c r="B40" s="41" t="s">
        <v>113</v>
      </c>
      <c r="C40" s="26" t="str">
        <f t="shared" ca="1" si="5"/>
        <v>0%</v>
      </c>
      <c r="D40" s="27">
        <f t="shared" si="0"/>
        <v>7</v>
      </c>
      <c r="E40" s="28">
        <v>45992</v>
      </c>
      <c r="F40" s="28">
        <v>45998</v>
      </c>
      <c r="G40" s="29" t="s">
        <v>101</v>
      </c>
      <c r="H40" s="31"/>
      <c r="I40" s="31"/>
      <c r="J40" s="31"/>
      <c r="K40" s="31"/>
      <c r="L40" s="32"/>
      <c r="M40" s="33"/>
      <c r="N40" s="31"/>
      <c r="O40" s="31"/>
      <c r="P40" s="31"/>
      <c r="Q40" s="31"/>
      <c r="R40" s="31"/>
      <c r="S40" s="32"/>
      <c r="T40" s="33"/>
      <c r="U40" s="31"/>
      <c r="V40" s="31"/>
      <c r="W40" s="31"/>
      <c r="X40" s="31"/>
      <c r="Y40" s="31"/>
      <c r="Z40" s="32"/>
      <c r="AA40" s="33"/>
      <c r="AB40" s="31"/>
      <c r="AC40" s="31"/>
      <c r="AD40" s="31"/>
      <c r="AE40" s="31"/>
      <c r="AF40" s="31"/>
      <c r="AG40" s="32"/>
      <c r="AH40" s="33"/>
      <c r="AI40" s="31"/>
      <c r="AJ40" s="31"/>
      <c r="AK40" s="31"/>
      <c r="AL40" s="31"/>
      <c r="AM40" s="31"/>
      <c r="AN40" s="32"/>
      <c r="AO40" s="33"/>
      <c r="AP40" s="31"/>
      <c r="AQ40" s="31"/>
      <c r="AR40" s="31"/>
      <c r="AS40" s="31"/>
      <c r="AT40" s="31"/>
      <c r="AU40" s="32"/>
      <c r="AV40" s="33"/>
      <c r="AW40" s="30"/>
      <c r="AX40" s="30"/>
      <c r="AY40" s="30"/>
      <c r="AZ40" s="30"/>
      <c r="BA40" s="30"/>
      <c r="BB40" s="30"/>
      <c r="BC40" s="30"/>
      <c r="BD40" s="31"/>
      <c r="BE40" s="31"/>
      <c r="BF40" s="31"/>
      <c r="BG40" s="31"/>
      <c r="BH40" s="31"/>
      <c r="BI40" s="31"/>
      <c r="BJ40" s="31"/>
      <c r="BK40" s="31"/>
      <c r="BL40" s="31"/>
      <c r="BM40" s="31"/>
      <c r="BN40" s="31"/>
    </row>
    <row r="41" spans="1:66" ht="15" customHeight="1" thickBot="1">
      <c r="A41" s="45"/>
      <c r="B41" s="42" t="s">
        <v>112</v>
      </c>
      <c r="C41" s="26" t="str">
        <f t="shared" ca="1" si="5"/>
        <v>0%</v>
      </c>
      <c r="D41" s="27">
        <f t="shared" si="0"/>
        <v>7</v>
      </c>
      <c r="E41" s="28">
        <v>45992</v>
      </c>
      <c r="F41" s="28">
        <v>45998</v>
      </c>
      <c r="G41" s="29" t="s">
        <v>101</v>
      </c>
      <c r="H41" s="31"/>
      <c r="I41" s="31"/>
      <c r="J41" s="31"/>
      <c r="K41" s="31"/>
      <c r="L41" s="32"/>
      <c r="M41" s="33"/>
      <c r="N41" s="31"/>
      <c r="O41" s="31"/>
      <c r="P41" s="31"/>
      <c r="Q41" s="31"/>
      <c r="R41" s="31"/>
      <c r="S41" s="32"/>
      <c r="T41" s="33"/>
      <c r="U41" s="31"/>
      <c r="V41" s="31"/>
      <c r="W41" s="31"/>
      <c r="X41" s="31"/>
      <c r="Y41" s="31"/>
      <c r="Z41" s="32"/>
      <c r="AA41" s="33"/>
      <c r="AB41" s="31"/>
      <c r="AC41" s="31"/>
      <c r="AD41" s="31"/>
      <c r="AE41" s="31"/>
      <c r="AF41" s="31"/>
      <c r="AG41" s="32"/>
      <c r="AH41" s="33"/>
      <c r="AI41" s="31"/>
      <c r="AJ41" s="31"/>
      <c r="AK41" s="31"/>
      <c r="AL41" s="31"/>
      <c r="AM41" s="31"/>
      <c r="AN41" s="32"/>
      <c r="AO41" s="33"/>
      <c r="AP41" s="31"/>
      <c r="AQ41" s="31"/>
      <c r="AR41" s="31"/>
      <c r="AS41" s="31"/>
      <c r="AT41" s="31"/>
      <c r="AU41" s="32"/>
      <c r="AV41" s="33"/>
      <c r="AW41" s="30"/>
      <c r="AX41" s="30"/>
      <c r="AY41" s="30"/>
      <c r="AZ41" s="30"/>
      <c r="BA41" s="30"/>
      <c r="BB41" s="30"/>
      <c r="BC41" s="30"/>
      <c r="BD41" s="31"/>
      <c r="BE41" s="31"/>
      <c r="BF41" s="31"/>
      <c r="BG41" s="31"/>
      <c r="BH41" s="31"/>
      <c r="BI41" s="31"/>
      <c r="BJ41" s="31"/>
      <c r="BK41" s="31"/>
      <c r="BL41" s="31"/>
      <c r="BM41" s="31"/>
      <c r="BN41" s="31"/>
    </row>
    <row r="42" spans="1:66" ht="15.75" thickBot="1">
      <c r="A42" s="45"/>
      <c r="B42" s="37" t="s">
        <v>2</v>
      </c>
      <c r="C42" s="26" t="str">
        <f t="shared" ca="1" si="5"/>
        <v>6.5%</v>
      </c>
      <c r="D42" s="27">
        <f t="shared" si="0"/>
        <v>32</v>
      </c>
      <c r="E42" s="28">
        <v>45964</v>
      </c>
      <c r="F42" s="28">
        <v>45995</v>
      </c>
      <c r="G42" s="64" t="s">
        <v>102</v>
      </c>
      <c r="H42" s="31"/>
      <c r="I42" s="31"/>
      <c r="J42" s="31"/>
      <c r="K42" s="31"/>
      <c r="L42" s="32"/>
      <c r="M42" s="33"/>
      <c r="N42" s="31"/>
      <c r="O42" s="31"/>
      <c r="P42" s="31"/>
      <c r="Q42" s="31"/>
      <c r="R42" s="31"/>
      <c r="S42" s="32"/>
      <c r="T42" s="33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1"/>
      <c r="BB42" s="32"/>
      <c r="BC42" s="33"/>
      <c r="BD42" s="31"/>
      <c r="BE42" s="31"/>
      <c r="BF42" s="31"/>
      <c r="BG42" s="31"/>
      <c r="BH42" s="31"/>
      <c r="BI42" s="31"/>
      <c r="BJ42" s="31"/>
      <c r="BK42" s="31"/>
      <c r="BL42" s="31"/>
      <c r="BM42" s="31"/>
      <c r="BN42" s="31"/>
    </row>
    <row r="43" spans="1:66" ht="15.75" thickBot="1">
      <c r="A43" s="45"/>
      <c r="B43" s="39" t="s">
        <v>90</v>
      </c>
      <c r="C43" s="26" t="str">
        <f t="shared" ca="1" si="5"/>
        <v>0%</v>
      </c>
      <c r="D43" s="27">
        <f t="shared" si="0"/>
        <v>1</v>
      </c>
      <c r="E43" s="28">
        <v>45996</v>
      </c>
      <c r="F43" s="28">
        <v>45996</v>
      </c>
      <c r="G43" s="64" t="s">
        <v>102</v>
      </c>
      <c r="H43" s="31"/>
      <c r="I43" s="31"/>
      <c r="J43" s="31"/>
      <c r="K43" s="31"/>
      <c r="L43" s="32"/>
      <c r="M43" s="33"/>
      <c r="N43" s="31"/>
      <c r="O43" s="31"/>
      <c r="P43" s="31"/>
      <c r="Q43" s="31"/>
      <c r="R43" s="31"/>
      <c r="S43" s="32"/>
      <c r="T43" s="33"/>
      <c r="U43" s="31"/>
      <c r="V43" s="31"/>
      <c r="W43" s="31"/>
      <c r="X43" s="31"/>
      <c r="Y43" s="31"/>
      <c r="Z43" s="32"/>
      <c r="AA43" s="33"/>
      <c r="AB43" s="31"/>
      <c r="AC43" s="31"/>
      <c r="AD43" s="31"/>
      <c r="AE43" s="31"/>
      <c r="AF43" s="31"/>
      <c r="AG43" s="32"/>
      <c r="AH43" s="33"/>
      <c r="AI43" s="31"/>
      <c r="AJ43" s="31"/>
      <c r="AK43" s="31"/>
      <c r="AL43" s="31"/>
      <c r="AM43" s="31"/>
      <c r="AN43" s="32"/>
      <c r="AO43" s="33"/>
      <c r="AP43" s="31"/>
      <c r="AQ43" s="31"/>
      <c r="AR43" s="31"/>
      <c r="AS43" s="31"/>
      <c r="AT43" s="31"/>
      <c r="AU43" s="32"/>
      <c r="AV43" s="33"/>
      <c r="AW43" s="31"/>
      <c r="AX43" s="31"/>
      <c r="AY43" s="31"/>
      <c r="AZ43" s="31"/>
      <c r="BA43" s="30"/>
      <c r="BB43" s="32"/>
      <c r="BC43" s="33"/>
      <c r="BD43" s="31"/>
      <c r="BE43" s="31"/>
      <c r="BF43" s="31"/>
      <c r="BG43" s="31"/>
      <c r="BH43" s="31"/>
      <c r="BI43" s="31"/>
      <c r="BJ43" s="31"/>
      <c r="BK43" s="31"/>
      <c r="BL43" s="31"/>
      <c r="BM43" s="31"/>
      <c r="BN43" s="31"/>
    </row>
    <row r="44" spans="1:66" ht="15.75" thickBot="1">
      <c r="A44" s="46"/>
      <c r="B44" s="39" t="s">
        <v>91</v>
      </c>
      <c r="C44" s="26" t="str">
        <f t="shared" ca="1" si="5"/>
        <v>0%</v>
      </c>
      <c r="D44" s="27">
        <f t="shared" si="0"/>
        <v>2</v>
      </c>
      <c r="E44" s="28">
        <v>45997</v>
      </c>
      <c r="F44" s="28">
        <v>45998</v>
      </c>
      <c r="G44" s="64" t="s">
        <v>102</v>
      </c>
      <c r="H44" s="31"/>
      <c r="I44" s="31"/>
      <c r="J44" s="31"/>
      <c r="K44" s="31"/>
      <c r="L44" s="32"/>
      <c r="M44" s="33"/>
      <c r="N44" s="31"/>
      <c r="O44" s="31"/>
      <c r="P44" s="31"/>
      <c r="Q44" s="31"/>
      <c r="R44" s="31"/>
      <c r="S44" s="32"/>
      <c r="T44" s="33"/>
      <c r="U44" s="31"/>
      <c r="V44" s="31"/>
      <c r="W44" s="31"/>
      <c r="X44" s="31"/>
      <c r="Y44" s="31"/>
      <c r="Z44" s="32"/>
      <c r="AA44" s="33"/>
      <c r="AB44" s="31"/>
      <c r="AC44" s="31"/>
      <c r="AD44" s="31"/>
      <c r="AE44" s="31"/>
      <c r="AF44" s="31"/>
      <c r="AG44" s="32"/>
      <c r="AH44" s="33"/>
      <c r="AI44" s="31"/>
      <c r="AJ44" s="31"/>
      <c r="AK44" s="31"/>
      <c r="AL44" s="31"/>
      <c r="AM44" s="31"/>
      <c r="AN44" s="32"/>
      <c r="AO44" s="33"/>
      <c r="AP44" s="31"/>
      <c r="AQ44" s="31"/>
      <c r="AR44" s="31"/>
      <c r="AS44" s="31"/>
      <c r="AT44" s="31"/>
      <c r="AU44" s="32"/>
      <c r="AV44" s="33"/>
      <c r="AW44" s="31"/>
      <c r="AX44" s="31"/>
      <c r="AY44" s="31"/>
      <c r="AZ44" s="31"/>
      <c r="BA44" s="31"/>
      <c r="BB44" s="30"/>
      <c r="BC44" s="30"/>
      <c r="BD44" s="31"/>
      <c r="BE44" s="31"/>
      <c r="BF44" s="31"/>
      <c r="BG44" s="31"/>
      <c r="BH44" s="31"/>
      <c r="BI44" s="31"/>
      <c r="BJ44" s="31"/>
      <c r="BK44" s="31"/>
      <c r="BL44" s="31"/>
      <c r="BM44" s="31"/>
      <c r="BN44" s="31"/>
    </row>
    <row r="45" spans="1:66" ht="15.75" thickBot="1">
      <c r="A45" s="47" t="s">
        <v>92</v>
      </c>
      <c r="B45" s="58" t="s">
        <v>92</v>
      </c>
      <c r="C45" s="59" t="str">
        <f t="shared" ca="1" si="5"/>
        <v>0%</v>
      </c>
      <c r="D45" s="60">
        <f t="shared" si="0"/>
        <v>12</v>
      </c>
      <c r="E45" s="61">
        <v>45999</v>
      </c>
      <c r="F45" s="61">
        <v>46010</v>
      </c>
      <c r="G45" s="62" t="s">
        <v>100</v>
      </c>
      <c r="H45" s="31"/>
      <c r="I45" s="31"/>
      <c r="J45" s="31"/>
      <c r="K45" s="31"/>
      <c r="L45" s="32"/>
      <c r="M45" s="33"/>
      <c r="N45" s="31"/>
      <c r="O45" s="31"/>
      <c r="P45" s="31"/>
      <c r="Q45" s="31"/>
      <c r="R45" s="31"/>
      <c r="S45" s="32"/>
      <c r="T45" s="33"/>
      <c r="U45" s="31"/>
      <c r="V45" s="31"/>
      <c r="W45" s="31"/>
      <c r="X45" s="31"/>
      <c r="Y45" s="31"/>
      <c r="Z45" s="32"/>
      <c r="AA45" s="33"/>
      <c r="AB45" s="31"/>
      <c r="AC45" s="31"/>
      <c r="AD45" s="31"/>
      <c r="AE45" s="31"/>
      <c r="AF45" s="31"/>
      <c r="AG45" s="32"/>
      <c r="AH45" s="33"/>
      <c r="AI45" s="31"/>
      <c r="AJ45" s="31"/>
      <c r="AK45" s="31"/>
      <c r="AL45" s="31"/>
      <c r="AM45" s="31"/>
      <c r="AN45" s="32"/>
      <c r="AO45" s="33"/>
      <c r="AP45" s="31"/>
      <c r="AQ45" s="31"/>
      <c r="AR45" s="31"/>
      <c r="AS45" s="31"/>
      <c r="AT45" s="31"/>
      <c r="AU45" s="32"/>
      <c r="AV45" s="33"/>
      <c r="AW45" s="31"/>
      <c r="AX45" s="31"/>
      <c r="AY45" s="31"/>
      <c r="AZ45" s="31"/>
      <c r="BA45" s="31"/>
      <c r="BB45" s="32"/>
      <c r="BC45" s="33"/>
      <c r="BD45" s="38"/>
      <c r="BE45" s="38"/>
      <c r="BF45" s="38"/>
      <c r="BG45" s="38"/>
      <c r="BH45" s="38"/>
      <c r="BI45" s="38"/>
      <c r="BJ45" s="38"/>
      <c r="BK45" s="38"/>
      <c r="BL45" s="38"/>
      <c r="BM45" s="38"/>
      <c r="BN45" s="38"/>
    </row>
    <row r="46" spans="1:66" ht="15.75" thickBot="1">
      <c r="A46" s="48"/>
      <c r="B46" s="25" t="s">
        <v>93</v>
      </c>
      <c r="C46" s="26" t="str">
        <f t="shared" ca="1" si="5"/>
        <v>0%</v>
      </c>
      <c r="D46" s="27">
        <f t="shared" si="0"/>
        <v>10</v>
      </c>
      <c r="E46" s="28">
        <v>45999</v>
      </c>
      <c r="F46" s="28">
        <v>46008</v>
      </c>
      <c r="G46" s="62" t="s">
        <v>100</v>
      </c>
      <c r="H46" s="31"/>
      <c r="I46" s="31"/>
      <c r="J46" s="31"/>
      <c r="K46" s="31"/>
      <c r="L46" s="32"/>
      <c r="M46" s="33"/>
      <c r="N46" s="31"/>
      <c r="O46" s="31"/>
      <c r="P46" s="31"/>
      <c r="Q46" s="31"/>
      <c r="R46" s="31"/>
      <c r="S46" s="32"/>
      <c r="T46" s="33"/>
      <c r="U46" s="31"/>
      <c r="V46" s="31"/>
      <c r="W46" s="31"/>
      <c r="X46" s="31"/>
      <c r="Y46" s="31"/>
      <c r="Z46" s="32"/>
      <c r="AA46" s="33"/>
      <c r="AB46" s="31"/>
      <c r="AC46" s="31"/>
      <c r="AD46" s="31"/>
      <c r="AE46" s="31"/>
      <c r="AF46" s="31"/>
      <c r="AG46" s="32"/>
      <c r="AH46" s="33"/>
      <c r="AI46" s="31"/>
      <c r="AJ46" s="31"/>
      <c r="AK46" s="31"/>
      <c r="AL46" s="31"/>
      <c r="AM46" s="31"/>
      <c r="AN46" s="32"/>
      <c r="AO46" s="33"/>
      <c r="AP46" s="31"/>
      <c r="AQ46" s="31"/>
      <c r="AR46" s="31"/>
      <c r="AS46" s="31"/>
      <c r="AT46" s="31"/>
      <c r="AU46" s="32"/>
      <c r="AV46" s="33"/>
      <c r="AW46" s="31"/>
      <c r="AX46" s="31"/>
      <c r="AY46" s="31"/>
      <c r="AZ46" s="31"/>
      <c r="BA46" s="31"/>
      <c r="BB46" s="32"/>
      <c r="BC46" s="33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1"/>
    </row>
    <row r="47" spans="1:66" ht="15.75" thickBot="1">
      <c r="A47" s="48"/>
      <c r="B47" s="25" t="s">
        <v>3</v>
      </c>
      <c r="C47" s="26" t="str">
        <f t="shared" ca="1" si="5"/>
        <v>0%</v>
      </c>
      <c r="D47" s="27">
        <f t="shared" si="0"/>
        <v>10</v>
      </c>
      <c r="E47" s="28">
        <v>45999</v>
      </c>
      <c r="F47" s="28">
        <v>46008</v>
      </c>
      <c r="G47" s="62" t="s">
        <v>100</v>
      </c>
      <c r="H47" s="31"/>
      <c r="I47" s="31"/>
      <c r="J47" s="31"/>
      <c r="K47" s="31"/>
      <c r="L47" s="32"/>
      <c r="M47" s="33"/>
      <c r="N47" s="31"/>
      <c r="O47" s="31"/>
      <c r="P47" s="31"/>
      <c r="Q47" s="31"/>
      <c r="R47" s="31"/>
      <c r="S47" s="32"/>
      <c r="T47" s="33"/>
      <c r="U47" s="31"/>
      <c r="V47" s="31"/>
      <c r="W47" s="31"/>
      <c r="X47" s="31"/>
      <c r="Y47" s="31"/>
      <c r="Z47" s="32"/>
      <c r="AA47" s="33"/>
      <c r="AB47" s="31"/>
      <c r="AC47" s="31"/>
      <c r="AD47" s="31"/>
      <c r="AE47" s="31"/>
      <c r="AF47" s="31"/>
      <c r="AG47" s="32"/>
      <c r="AH47" s="33"/>
      <c r="AI47" s="31"/>
      <c r="AJ47" s="31"/>
      <c r="AK47" s="31"/>
      <c r="AL47" s="31"/>
      <c r="AM47" s="31"/>
      <c r="AN47" s="32"/>
      <c r="AO47" s="33"/>
      <c r="AP47" s="31"/>
      <c r="AQ47" s="31"/>
      <c r="AR47" s="31"/>
      <c r="AS47" s="31"/>
      <c r="AT47" s="31"/>
      <c r="AU47" s="32"/>
      <c r="AV47" s="33"/>
      <c r="AW47" s="31"/>
      <c r="AX47" s="31"/>
      <c r="AY47" s="31"/>
      <c r="AZ47" s="31"/>
      <c r="BA47" s="31"/>
      <c r="BB47" s="32"/>
      <c r="BC47" s="33"/>
      <c r="BD47" s="30"/>
      <c r="BE47" s="30"/>
      <c r="BF47" s="30"/>
      <c r="BG47" s="30"/>
      <c r="BH47" s="30"/>
      <c r="BI47" s="30"/>
      <c r="BJ47" s="30"/>
      <c r="BK47" s="30"/>
      <c r="BL47" s="30"/>
      <c r="BM47" s="30"/>
      <c r="BN47" s="31"/>
    </row>
    <row r="48" spans="1:66" ht="15.75" thickBot="1">
      <c r="A48" s="48"/>
      <c r="B48" s="25" t="s">
        <v>94</v>
      </c>
      <c r="C48" s="26" t="str">
        <f t="shared" ca="1" si="5"/>
        <v>0%</v>
      </c>
      <c r="D48" s="27">
        <f t="shared" si="0"/>
        <v>1</v>
      </c>
      <c r="E48" s="28">
        <v>46010</v>
      </c>
      <c r="F48" s="28">
        <v>46010</v>
      </c>
      <c r="G48" s="62" t="s">
        <v>100</v>
      </c>
      <c r="H48" s="31"/>
      <c r="I48" s="31"/>
      <c r="J48" s="31"/>
      <c r="K48" s="31"/>
      <c r="L48" s="32"/>
      <c r="M48" s="33"/>
      <c r="N48" s="31"/>
      <c r="O48" s="31"/>
      <c r="P48" s="31"/>
      <c r="Q48" s="31"/>
      <c r="R48" s="31"/>
      <c r="S48" s="32"/>
      <c r="T48" s="33"/>
      <c r="U48" s="31"/>
      <c r="V48" s="31"/>
      <c r="W48" s="31"/>
      <c r="X48" s="31"/>
      <c r="Y48" s="31"/>
      <c r="Z48" s="32"/>
      <c r="AA48" s="33"/>
      <c r="AB48" s="31"/>
      <c r="AC48" s="31"/>
      <c r="AD48" s="31"/>
      <c r="AE48" s="31"/>
      <c r="AF48" s="31"/>
      <c r="AG48" s="32"/>
      <c r="AH48" s="33"/>
      <c r="AI48" s="31"/>
      <c r="AJ48" s="31"/>
      <c r="AK48" s="31"/>
      <c r="AL48" s="31"/>
      <c r="AM48" s="31"/>
      <c r="AN48" s="32"/>
      <c r="AO48" s="33"/>
      <c r="AP48" s="31"/>
      <c r="AQ48" s="31"/>
      <c r="AR48" s="31"/>
      <c r="AS48" s="31"/>
      <c r="AT48" s="31"/>
      <c r="AU48" s="32"/>
      <c r="AV48" s="33"/>
      <c r="AW48" s="31"/>
      <c r="AX48" s="31"/>
      <c r="AY48" s="31"/>
      <c r="AZ48" s="31"/>
      <c r="BA48" s="31"/>
      <c r="BB48" s="32"/>
      <c r="BC48" s="33"/>
      <c r="BD48" s="31"/>
      <c r="BE48" s="31"/>
      <c r="BF48" s="31"/>
      <c r="BG48" s="31"/>
      <c r="BH48" s="31"/>
      <c r="BI48" s="31"/>
      <c r="BJ48" s="31"/>
      <c r="BK48" s="31"/>
      <c r="BL48" s="31"/>
      <c r="BM48" s="31"/>
      <c r="BN48" s="31"/>
    </row>
    <row r="49" spans="1:66" ht="15" customHeight="1" thickBot="1">
      <c r="A49" s="49"/>
      <c r="B49" s="25" t="s">
        <v>95</v>
      </c>
      <c r="C49" s="26" t="str">
        <f t="shared" ca="1" si="5"/>
        <v>0%</v>
      </c>
      <c r="D49" s="27">
        <f t="shared" si="0"/>
        <v>1</v>
      </c>
      <c r="E49" s="28">
        <v>46010</v>
      </c>
      <c r="F49" s="28">
        <v>46010</v>
      </c>
      <c r="G49" s="62" t="s">
        <v>100</v>
      </c>
      <c r="H49" s="31"/>
      <c r="I49" s="31"/>
      <c r="J49" s="31"/>
      <c r="K49" s="31"/>
      <c r="L49" s="32"/>
      <c r="M49" s="33"/>
      <c r="N49" s="31"/>
      <c r="O49" s="31"/>
      <c r="P49" s="31"/>
      <c r="Q49" s="31"/>
      <c r="R49" s="31"/>
      <c r="S49" s="32"/>
      <c r="T49" s="33"/>
      <c r="U49" s="31"/>
      <c r="V49" s="31"/>
      <c r="W49" s="31"/>
      <c r="X49" s="31"/>
      <c r="Y49" s="31"/>
      <c r="Z49" s="32"/>
      <c r="AA49" s="33"/>
      <c r="AB49" s="31"/>
      <c r="AC49" s="31"/>
      <c r="AD49" s="31"/>
      <c r="AE49" s="31"/>
      <c r="AF49" s="31"/>
      <c r="AG49" s="32"/>
      <c r="AH49" s="33"/>
      <c r="AI49" s="31"/>
      <c r="AJ49" s="31"/>
      <c r="AK49" s="31"/>
      <c r="AL49" s="31"/>
      <c r="AM49" s="31"/>
      <c r="AN49" s="32"/>
      <c r="AO49" s="33"/>
      <c r="AP49" s="31"/>
      <c r="AQ49" s="31"/>
      <c r="AR49" s="31"/>
      <c r="AS49" s="31"/>
      <c r="AT49" s="31"/>
      <c r="AU49" s="32"/>
      <c r="AV49" s="33"/>
      <c r="AW49" s="31"/>
      <c r="AX49" s="31"/>
      <c r="AY49" s="31"/>
      <c r="AZ49" s="31"/>
      <c r="BA49" s="31"/>
      <c r="BB49" s="32"/>
      <c r="BC49" s="33"/>
      <c r="BD49" s="31"/>
      <c r="BE49" s="31"/>
      <c r="BF49" s="31"/>
      <c r="BG49" s="31"/>
      <c r="BH49" s="31"/>
      <c r="BI49" s="31"/>
      <c r="BJ49" s="31"/>
      <c r="BK49" s="31"/>
      <c r="BL49" s="31"/>
      <c r="BM49" s="31"/>
      <c r="BN49" s="31"/>
    </row>
    <row r="50" spans="1:66">
      <c r="E50" s="7"/>
      <c r="F50" s="1"/>
      <c r="I50" s="3"/>
    </row>
    <row r="51" spans="1:66">
      <c r="I51" s="3"/>
    </row>
    <row r="52" spans="1:66">
      <c r="E52" s="1"/>
      <c r="G52" s="1"/>
      <c r="I52" s="3"/>
    </row>
    <row r="53" spans="1:66">
      <c r="I53" s="3"/>
    </row>
    <row r="54" spans="1:66">
      <c r="I54" s="3"/>
    </row>
    <row r="55" spans="1:66">
      <c r="B55" s="8" t="s">
        <v>96</v>
      </c>
      <c r="I55" s="3"/>
    </row>
    <row r="56" spans="1:66" ht="16.5">
      <c r="B56" s="9" t="s">
        <v>97</v>
      </c>
      <c r="E56" s="2"/>
      <c r="F56" s="3"/>
      <c r="I56" s="3"/>
    </row>
    <row r="57" spans="1:66">
      <c r="B57" s="10" t="s">
        <v>98</v>
      </c>
      <c r="I57" s="3"/>
    </row>
    <row r="58" spans="1:66">
      <c r="C58" s="3"/>
    </row>
    <row r="59" spans="1:66">
      <c r="C59" s="3"/>
    </row>
    <row r="60" spans="1:66"/>
    <row r="61" spans="1:66"/>
    <row r="62" spans="1:66" ht="16.5">
      <c r="B62" s="2"/>
      <c r="C62" s="3"/>
      <c r="D62" s="3"/>
    </row>
    <row r="63" spans="1:66">
      <c r="C63" s="3"/>
      <c r="D63" s="3"/>
    </row>
    <row r="64" spans="1:66" ht="16.5">
      <c r="B64" s="2"/>
      <c r="D64" s="3"/>
    </row>
    <row r="65" spans="3:8">
      <c r="C65" s="3"/>
      <c r="D65" s="3"/>
    </row>
    <row r="66" spans="3:8">
      <c r="C66" s="3"/>
      <c r="D66" s="3"/>
    </row>
    <row r="67" spans="3:8">
      <c r="D67" s="3"/>
    </row>
    <row r="68" spans="3:8">
      <c r="D68" s="3"/>
    </row>
    <row r="69" spans="3:8">
      <c r="D69" s="3"/>
    </row>
    <row r="70" spans="3:8">
      <c r="C70" s="3"/>
      <c r="D70" s="3"/>
    </row>
    <row r="71" spans="3:8">
      <c r="H71" s="11"/>
    </row>
  </sheetData>
  <mergeCells count="9">
    <mergeCell ref="A45:A49"/>
    <mergeCell ref="C1:E1"/>
    <mergeCell ref="F1:W1"/>
    <mergeCell ref="G2:G3"/>
    <mergeCell ref="A4:A11"/>
    <mergeCell ref="B21:G21"/>
    <mergeCell ref="B28:G28"/>
    <mergeCell ref="B33:G33"/>
    <mergeCell ref="B17:G17"/>
  </mergeCells>
  <phoneticPr fontId="1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김석현</cp:lastModifiedBy>
  <dcterms:modified xsi:type="dcterms:W3CDTF">2025-11-05T06:42:45Z</dcterms:modified>
</cp:coreProperties>
</file>